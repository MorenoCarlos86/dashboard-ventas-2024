
<file path=[Content_Types].xml><?xml version="1.0" encoding="utf-8"?>
<Types xmlns="http://schemas.openxmlformats.org/package/2006/content-types"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lomek\Desktop\"/>
    </mc:Choice>
  </mc:AlternateContent>
  <xr:revisionPtr revIDLastSave="0" documentId="13_ncr:1_{A4C67AFB-5684-45AC-8E71-F6BBB324A26E}" xr6:coauthVersionLast="47" xr6:coauthVersionMax="47" xr10:uidLastSave="{00000000-0000-0000-0000-000000000000}"/>
  <bookViews>
    <workbookView xWindow="-120" yWindow="-120" windowWidth="20640" windowHeight="11040" firstSheet="1" activeTab="1" xr2:uid="{00000000-000D-0000-FFFF-FFFF00000000}"/>
  </bookViews>
  <sheets>
    <sheet name="Detalle_Productos" sheetId="2" r:id="rId1"/>
    <sheet name="Dashboard Final" sheetId="6" r:id="rId2"/>
    <sheet name="Configuración" sheetId="3" r:id="rId3"/>
    <sheet name="Auxiliar" sheetId="7" state="hidden" r:id="rId4"/>
    <sheet name="Datos_Crudos" sheetId="4" r:id="rId5"/>
  </sheets>
  <definedNames>
    <definedName name="_xlcn.WorksheetConnection_Modulo9ejercicio.xlsmtbl_Ventas1" hidden="1">tbl_Ventas[]</definedName>
    <definedName name="Celda_Vinculo_Mes">#REF!</definedName>
    <definedName name="Inicio_Config">Configuración!$A$1</definedName>
    <definedName name="Inicio_Dash">#REF!</definedName>
    <definedName name="Inicio_Datos">Datos_Crudos!$A$1</definedName>
    <definedName name="Inicio_Detalle">Detalle_Productos!$A$1</definedName>
    <definedName name="SegmentaciónDeDatos_Canal">#N/A</definedName>
    <definedName name="SegmentaciónDeDatos_Categoría">#N/A</definedName>
    <definedName name="SegmentaciónDeDatos_Región">#N/A</definedName>
  </definedNames>
  <calcPr calcId="191029"/>
  <pivotCaches>
    <pivotCache cacheId="199" r:id="rId6"/>
    <pivotCache cacheId="202" r:id="rId7"/>
    <pivotCache cacheId="205" r:id="rId8"/>
    <pivotCache cacheId="208" r:id="rId9"/>
  </pivotCaches>
  <extLst>
    <ext xmlns:x14="http://schemas.microsoft.com/office/spreadsheetml/2009/9/main" uri="{876F7934-8845-4945-9796-88D515C7AA90}">
      <x14:pivotCaches>
        <pivotCache cacheId="4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bl_Ventas_eba3b785-7aee-4154-a68d-30d3b93d5087" name="tbl_Ventas" connection="Consulta - tbl_Ventas"/>
          <x15:modelTable id="tbl_Ventas 1" name="tbl_Ventas 1" connection="WorksheetConnection_Modulo 9 ejercicio.xlsm!tbl_Venta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q5lcgHIPwIynOQVGBFs06D1xEOlah/ZiOLs5C5znIBw="/>
    </ext>
  </extLst>
</workbook>
</file>

<file path=xl/calcChain.xml><?xml version="1.0" encoding="utf-8"?>
<calcChain xmlns="http://schemas.openxmlformats.org/spreadsheetml/2006/main">
  <c r="D15" i="3" l="1"/>
  <c r="C15" i="3"/>
  <c r="B15" i="3"/>
  <c r="E15" i="3" s="1"/>
  <c r="D14" i="3"/>
  <c r="C14" i="3"/>
  <c r="B14" i="3"/>
  <c r="E14" i="3" s="1"/>
  <c r="D13" i="3"/>
  <c r="C13" i="3"/>
  <c r="B13" i="3"/>
  <c r="E13" i="3" s="1"/>
  <c r="D12" i="3"/>
  <c r="C12" i="3"/>
  <c r="B12" i="3"/>
  <c r="E12" i="3" s="1"/>
  <c r="D11" i="3"/>
  <c r="C11" i="3"/>
  <c r="B11" i="3"/>
  <c r="E11" i="3" s="1"/>
  <c r="D10" i="3"/>
  <c r="C10" i="3"/>
  <c r="B10" i="3"/>
  <c r="E10" i="3" s="1"/>
  <c r="D9" i="3"/>
  <c r="C9" i="3"/>
  <c r="B9" i="3"/>
  <c r="E9" i="3" s="1"/>
  <c r="D8" i="3"/>
  <c r="C8" i="3"/>
  <c r="B8" i="3"/>
  <c r="E8" i="3" s="1"/>
  <c r="D7" i="3"/>
  <c r="C7" i="3"/>
  <c r="B7" i="3"/>
  <c r="E7" i="3" s="1"/>
  <c r="D6" i="3"/>
  <c r="C6" i="3"/>
  <c r="B6" i="3"/>
  <c r="E6" i="3" s="1"/>
  <c r="D5" i="3"/>
  <c r="C5" i="3"/>
  <c r="B5" i="3"/>
  <c r="D4" i="3"/>
  <c r="C4" i="3"/>
  <c r="B4" i="3"/>
  <c r="E4" i="3" s="1"/>
  <c r="E17" i="2"/>
  <c r="D17" i="2"/>
  <c r="F17" i="2" s="1"/>
  <c r="C17" i="2"/>
  <c r="E16" i="2"/>
  <c r="D16" i="2"/>
  <c r="F16" i="2" s="1"/>
  <c r="C16" i="2"/>
  <c r="E15" i="2"/>
  <c r="D15" i="2"/>
  <c r="F15" i="2" s="1"/>
  <c r="C15" i="2"/>
  <c r="E14" i="2"/>
  <c r="D14" i="2"/>
  <c r="F14" i="2" s="1"/>
  <c r="C14" i="2"/>
  <c r="E13" i="2"/>
  <c r="D13" i="2"/>
  <c r="F13" i="2" s="1"/>
  <c r="C13" i="2"/>
  <c r="E12" i="2"/>
  <c r="D12" i="2"/>
  <c r="F12" i="2" s="1"/>
  <c r="C12" i="2"/>
  <c r="E11" i="2"/>
  <c r="D11" i="2"/>
  <c r="F11" i="2" s="1"/>
  <c r="C11" i="2"/>
  <c r="E10" i="2"/>
  <c r="D10" i="2"/>
  <c r="F10" i="2" s="1"/>
  <c r="C10" i="2"/>
  <c r="E9" i="2"/>
  <c r="D9" i="2"/>
  <c r="F9" i="2" s="1"/>
  <c r="C9" i="2"/>
  <c r="E8" i="2"/>
  <c r="D8" i="2"/>
  <c r="F8" i="2" s="1"/>
  <c r="C8" i="2"/>
  <c r="E7" i="2"/>
  <c r="D7" i="2"/>
  <c r="F7" i="2" s="1"/>
  <c r="C7" i="2"/>
  <c r="E6" i="2"/>
  <c r="D6" i="2"/>
  <c r="F6" i="2" s="1"/>
  <c r="C6" i="2"/>
  <c r="E2" i="2"/>
  <c r="A2" i="2"/>
  <c r="A4" i="6"/>
  <c r="C4" i="6"/>
  <c r="E4" i="6"/>
  <c r="E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1448E-23FC-4DD9-8E7B-06B3FA4DB54E}" name="Consulta - tbl_Ventas" description="Conexión a la consulta 'tbl_Ventas' en el libro." type="100" refreshedVersion="8" minRefreshableVersion="5">
    <extLst>
      <ext xmlns:x15="http://schemas.microsoft.com/office/spreadsheetml/2010/11/main" uri="{DE250136-89BD-433C-8126-D09CA5730AF9}">
        <x15:connection id="b3c9d290-8dfd-4433-ae73-50876828ac7d"/>
      </ext>
    </extLst>
  </connection>
  <connection id="2" xr16:uid="{0C95ED24-2FEA-49D1-8BD0-7CD1C2056B0B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B7316C5-964B-4238-80EE-750491DEEBBD}" name="WorksheetConnection_Modulo 9 ejercicio.xlsm!tbl_Ventas" type="102" refreshedVersion="8" minRefreshableVersion="5">
    <extLst>
      <ext xmlns:x15="http://schemas.microsoft.com/office/spreadsheetml/2010/11/main" uri="{DE250136-89BD-433C-8126-D09CA5730AF9}">
        <x15:connection id="tbl_Ventas 1">
          <x15:rangePr sourceName="_xlcn.WorksheetConnection_Modulo9ejercicio.xlsmtbl_Ventas1"/>
        </x15:connection>
      </ext>
    </extLst>
  </connection>
</connections>
</file>

<file path=xl/sharedStrings.xml><?xml version="1.0" encoding="utf-8"?>
<sst xmlns="http://schemas.openxmlformats.org/spreadsheetml/2006/main" count="3713" uniqueCount="215">
  <si>
    <t>Configuración y Resumen Mensual</t>
  </si>
  <si>
    <t>Fecha</t>
  </si>
  <si>
    <t>Año</t>
  </si>
  <si>
    <t>Detalle por Producto</t>
  </si>
  <si>
    <t>Mes</t>
  </si>
  <si>
    <t>Trimestre</t>
  </si>
  <si>
    <t>Región</t>
  </si>
  <si>
    <t>Canal</t>
  </si>
  <si>
    <t>Cliente</t>
  </si>
  <si>
    <t>Producto</t>
  </si>
  <si>
    <t>Categoría</t>
  </si>
  <si>
    <t>Subcategoría</t>
  </si>
  <si>
    <t>Vendedor</t>
  </si>
  <si>
    <t>Unidades</t>
  </si>
  <si>
    <t>Precio_Lista</t>
  </si>
  <si>
    <t>Descuento_%</t>
  </si>
  <si>
    <t>Costo_Unitario</t>
  </si>
  <si>
    <t>Ventas_Brutas</t>
  </si>
  <si>
    <t>Ventas_Netas</t>
  </si>
  <si>
    <t>Margen</t>
  </si>
  <si>
    <t>Estado_Pedido</t>
  </si>
  <si>
    <t>Enero</t>
  </si>
  <si>
    <t>Q1</t>
  </si>
  <si>
    <t>Norte</t>
  </si>
  <si>
    <t>market place</t>
  </si>
  <si>
    <t>Cliente 032</t>
  </si>
  <si>
    <t>Impresora</t>
  </si>
  <si>
    <t>OFICINA</t>
  </si>
  <si>
    <t>Periféricos</t>
  </si>
  <si>
    <t>Juan Pérez</t>
  </si>
  <si>
    <t>Ticket_Promedio</t>
  </si>
  <si>
    <t>Paleta sugerida</t>
  </si>
  <si>
    <t>Completado</t>
  </si>
  <si>
    <t>Febrero</t>
  </si>
  <si>
    <t>CABA</t>
  </si>
  <si>
    <t>Ecommerce</t>
  </si>
  <si>
    <t>Cliente 036</t>
  </si>
  <si>
    <t>Tablet 10</t>
  </si>
  <si>
    <t>tecnologia</t>
  </si>
  <si>
    <t>Movilidad</t>
  </si>
  <si>
    <t>Nicolás Ríos</t>
  </si>
  <si>
    <t>Pendiente</t>
  </si>
  <si>
    <t>Marzo</t>
  </si>
  <si>
    <t>Patagonia</t>
  </si>
  <si>
    <t>Notebook 14</t>
  </si>
  <si>
    <t>ONLINE</t>
  </si>
  <si>
    <t>Cliente 059</t>
  </si>
  <si>
    <t>Tecnología</t>
  </si>
  <si>
    <t>Cafetera</t>
  </si>
  <si>
    <t>HOGAR</t>
  </si>
  <si>
    <t>Electrodomésticos</t>
  </si>
  <si>
    <t>Pedro Díaz</t>
  </si>
  <si>
    <t>completado</t>
  </si>
  <si>
    <t>Abril</t>
  </si>
  <si>
    <t>Q2</t>
  </si>
  <si>
    <t>Centro</t>
  </si>
  <si>
    <t>Online</t>
  </si>
  <si>
    <t>Cliente 013</t>
  </si>
  <si>
    <t>Monitor 24</t>
  </si>
  <si>
    <t>TECNOLOGÍA</t>
  </si>
  <si>
    <t>Imagen</t>
  </si>
  <si>
    <t>Luis Gómez</t>
  </si>
  <si>
    <t>Devuelto</t>
  </si>
  <si>
    <t>Mayo</t>
  </si>
  <si>
    <t>Sur</t>
  </si>
  <si>
    <t>mayorista</t>
  </si>
  <si>
    <t>Cliente 035</t>
  </si>
  <si>
    <t>Marta Ruiz</t>
  </si>
  <si>
    <t>Junio</t>
  </si>
  <si>
    <t>Cliente 051</t>
  </si>
  <si>
    <t>Anulado</t>
  </si>
  <si>
    <t>Primario</t>
  </si>
  <si>
    <t>Julio</t>
  </si>
  <si>
    <t>Q3</t>
  </si>
  <si>
    <t>Cliente 020</t>
  </si>
  <si>
    <t>Auriculares BT</t>
  </si>
  <si>
    <t>Audio</t>
  </si>
  <si>
    <t>#0F766E</t>
  </si>
  <si>
    <t>Agosto</t>
  </si>
  <si>
    <t>Interior</t>
  </si>
  <si>
    <t>RETAIL</t>
  </si>
  <si>
    <t>Cliente 015</t>
  </si>
  <si>
    <t>Mouse Inalámbrico</t>
  </si>
  <si>
    <t>Accesorios</t>
  </si>
  <si>
    <t>Sofía García</t>
  </si>
  <si>
    <t>Septiembre</t>
  </si>
  <si>
    <t>Retail</t>
  </si>
  <si>
    <t>Cliente 070</t>
  </si>
  <si>
    <t>Octubre</t>
  </si>
  <si>
    <t>Q4</t>
  </si>
  <si>
    <t>Costa</t>
  </si>
  <si>
    <t>Mayorista</t>
  </si>
  <si>
    <t>Cliente 069</t>
  </si>
  <si>
    <t>Noviembre</t>
  </si>
  <si>
    <t>Secundario</t>
  </si>
  <si>
    <t>MARKETPLACE</t>
  </si>
  <si>
    <t>Teclado Mecánico</t>
  </si>
  <si>
    <t>#2563EB</t>
  </si>
  <si>
    <t>Cliente 048</t>
  </si>
  <si>
    <t>Diciembre</t>
  </si>
  <si>
    <t>Cliente 066</t>
  </si>
  <si>
    <t>Marketplace</t>
  </si>
  <si>
    <t>Lámpara LED</t>
  </si>
  <si>
    <t>hogar</t>
  </si>
  <si>
    <t>Iluminación</t>
  </si>
  <si>
    <t>Ana López</t>
  </si>
  <si>
    <t>Cliente 002</t>
  </si>
  <si>
    <t>Acento</t>
  </si>
  <si>
    <t>Router WiFi</t>
  </si>
  <si>
    <t>#F59E0B</t>
  </si>
  <si>
    <t>Redes</t>
  </si>
  <si>
    <t>Cliente 063</t>
  </si>
  <si>
    <t>Silla Ergonómica</t>
  </si>
  <si>
    <t>Oficina</t>
  </si>
  <si>
    <t>Mobiliario</t>
  </si>
  <si>
    <t>E-commerce</t>
  </si>
  <si>
    <t>Cliente 009</t>
  </si>
  <si>
    <t>Grises</t>
  </si>
  <si>
    <t>#6B7280 / #E5E7EB</t>
  </si>
  <si>
    <t>Cliente 017</t>
  </si>
  <si>
    <t>Escritorio Compacto</t>
  </si>
  <si>
    <t>Cliente 068</t>
  </si>
  <si>
    <t>oficina</t>
  </si>
  <si>
    <t>Cliente 033</t>
  </si>
  <si>
    <t>Hogar</t>
  </si>
  <si>
    <t>Nota</t>
  </si>
  <si>
    <t>Usar Mes como lista para el selector del dashboard.</t>
  </si>
  <si>
    <t>Cliente 046</t>
  </si>
  <si>
    <t>Selector sugerido</t>
  </si>
  <si>
    <t>B3 en Dashboard</t>
  </si>
  <si>
    <t xml:space="preserve">Distribuidor </t>
  </si>
  <si>
    <t>Cliente 016</t>
  </si>
  <si>
    <t>Distribuidor</t>
  </si>
  <si>
    <t>Cliente 039</t>
  </si>
  <si>
    <t>Cliente 012</t>
  </si>
  <si>
    <t>Comparativo</t>
  </si>
  <si>
    <t>Variación vs referencia</t>
  </si>
  <si>
    <t>Cliente 064</t>
  </si>
  <si>
    <t>Cliente 057</t>
  </si>
  <si>
    <t>Cliente 010</t>
  </si>
  <si>
    <t>Impresión</t>
  </si>
  <si>
    <t>Horizontal / una página de ancho</t>
  </si>
  <si>
    <t>Cliente 054</t>
  </si>
  <si>
    <t>Sugerencia docente: pedir al estudiante que clasifique categorías inconsistentes y compare un producto contra el promedio del mes.</t>
  </si>
  <si>
    <t>Cliente 055</t>
  </si>
  <si>
    <t>Cliente 007</t>
  </si>
  <si>
    <t>Cliente 006</t>
  </si>
  <si>
    <t>ecommerce</t>
  </si>
  <si>
    <t>Cliente 067</t>
  </si>
  <si>
    <t>COMPLETADO</t>
  </si>
  <si>
    <t>Cliente 044</t>
  </si>
  <si>
    <t>Cliente 043</t>
  </si>
  <si>
    <t>Cliente 011</t>
  </si>
  <si>
    <t>Computación</t>
  </si>
  <si>
    <t>Cliente 060</t>
  </si>
  <si>
    <t>Cliente 031</t>
  </si>
  <si>
    <t>Cliente 062</t>
  </si>
  <si>
    <t>Cliente 050</t>
  </si>
  <si>
    <t>Cliente 040</t>
  </si>
  <si>
    <t>Cliente 034</t>
  </si>
  <si>
    <t>Cliente 028</t>
  </si>
  <si>
    <t>Cliente 042</t>
  </si>
  <si>
    <t>Cliente 049</t>
  </si>
  <si>
    <t>Cliente 008</t>
  </si>
  <si>
    <t>Cliente 014</t>
  </si>
  <si>
    <t>on-line</t>
  </si>
  <si>
    <t>Cliente 056</t>
  </si>
  <si>
    <t>juan pérez</t>
  </si>
  <si>
    <t>Cliente 029</t>
  </si>
  <si>
    <t>Cliente 021</t>
  </si>
  <si>
    <t>Cliente 019</t>
  </si>
  <si>
    <t>Cliente 005</t>
  </si>
  <si>
    <t>Cliente 058</t>
  </si>
  <si>
    <t>Cliente 023</t>
  </si>
  <si>
    <t>Cliente 022</t>
  </si>
  <si>
    <t>Cliente 045</t>
  </si>
  <si>
    <t>Cliente 041</t>
  </si>
  <si>
    <t>Cliente 037</t>
  </si>
  <si>
    <t>Cliente 053</t>
  </si>
  <si>
    <t>Cliente 026</t>
  </si>
  <si>
    <t>Cliente 061</t>
  </si>
  <si>
    <t>Cliente 004</t>
  </si>
  <si>
    <t>Cliente 065</t>
  </si>
  <si>
    <t>MARTA RUIZ</t>
  </si>
  <si>
    <t>Cliente 052</t>
  </si>
  <si>
    <t>Cliente 030</t>
  </si>
  <si>
    <t>Cliente 001</t>
  </si>
  <si>
    <t>Cliente 018</t>
  </si>
  <si>
    <t>Cliente 047</t>
  </si>
  <si>
    <t>Cliente 038</t>
  </si>
  <si>
    <t>Cliente 024</t>
  </si>
  <si>
    <t>Cliente 003</t>
  </si>
  <si>
    <t>Cliente 027</t>
  </si>
  <si>
    <t>ANA LÓPEZ</t>
  </si>
  <si>
    <t>luis gómez</t>
  </si>
  <si>
    <t>Cliente 025</t>
  </si>
  <si>
    <t>LUIS GÓMEZ</t>
  </si>
  <si>
    <t>pedro díaz</t>
  </si>
  <si>
    <t>Etiquetas de fila</t>
  </si>
  <si>
    <t>Total general</t>
  </si>
  <si>
    <t>Suma de Ventas_Netas</t>
  </si>
  <si>
    <t>Etiquetas de columna</t>
  </si>
  <si>
    <t>DASHBOARD DE VENTAS 2024</t>
  </si>
  <si>
    <t>Ventas Totales</t>
  </si>
  <si>
    <t>MARGEN %</t>
  </si>
  <si>
    <t>Margen Total</t>
  </si>
  <si>
    <t>Porcentaje</t>
  </si>
  <si>
    <t>JULIO</t>
  </si>
  <si>
    <t>MEJOR MES</t>
  </si>
  <si>
    <t>MARGEN TOTAL</t>
  </si>
  <si>
    <t>VENTAS NETAS</t>
  </si>
  <si>
    <t>Conclusiones
1-Julio presenta el mayor nivel de ventas, mientras abril registra el menor.
2-Después del máximo de julio, las ventas disminuyen en agosto y septiembre y luego muestran una recuperación hacia diciembre.
3-Los meses de menor venta no implican necesariamente una necesidad de promociones, ya que pueden existir variables no observadas que expliquen las variaciones</t>
  </si>
  <si>
    <t xml:space="preserve">                                </t>
  </si>
  <si>
    <t xml:space="preserve"> </t>
  </si>
  <si>
    <t>E-Commerce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</si>
</sst>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&quot;$&quot;\ #,##0.00"/>
    <numFmt numFmtId="166" formatCode="0.00\ %;\-0.00\ %;0.00\ %"/>
  </numFmts>
  <fonts count="15">
    <font>
      <sz val="11"/>
      <color rgb="FF000000"/>
      <name val="Carlito"/>
      <scheme val="minor"/>
    </font>
    <font>
      <b/>
      <sz val="10"/>
      <color rgb="FFFFFFFF"/>
      <name val="Carlito"/>
    </font>
    <font>
      <b/>
      <sz val="14"/>
      <color rgb="FFFFFFFF"/>
      <name val="Carlito"/>
    </font>
    <font>
      <b/>
      <sz val="16"/>
      <color rgb="FFFFFFFF"/>
      <name val="Carlito"/>
    </font>
    <font>
      <sz val="11"/>
      <color theme="1"/>
      <name val="Carlito"/>
    </font>
    <font>
      <sz val="11"/>
      <color theme="1"/>
      <name val="Carlito"/>
      <scheme val="minor"/>
    </font>
    <font>
      <b/>
      <u/>
      <sz val="11"/>
      <color rgb="FF374151"/>
      <name val="Carlito"/>
    </font>
    <font>
      <b/>
      <u/>
      <sz val="11"/>
      <color rgb="FFFFFFFF"/>
      <name val="Carlito"/>
    </font>
    <font>
      <b/>
      <sz val="11"/>
      <color theme="1"/>
      <name val="Carlito"/>
    </font>
    <font>
      <i/>
      <sz val="11"/>
      <color rgb="FF6B7280"/>
      <name val="Carlito"/>
    </font>
    <font>
      <b/>
      <sz val="11"/>
      <color rgb="FF000000"/>
      <name val="Carlito"/>
      <scheme val="minor"/>
    </font>
    <font>
      <b/>
      <u/>
      <sz val="28"/>
      <color rgb="FF000000"/>
      <name val="Carlito"/>
      <scheme val="minor"/>
    </font>
    <font>
      <sz val="18"/>
      <color rgb="FF000000"/>
      <name val="ADLaM Display"/>
    </font>
    <font>
      <b/>
      <sz val="20"/>
      <color rgb="FF000000"/>
      <name val="Carlito"/>
      <scheme val="minor"/>
    </font>
    <font>
      <sz val="18"/>
      <color rgb="FF000000"/>
      <name val="Carlito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1F2937"/>
        <bgColor rgb="FF1F2937"/>
      </patternFill>
    </fill>
    <fill>
      <patternFill patternType="solid">
        <fgColor rgb="FF0F766E"/>
        <bgColor rgb="FF0F766E"/>
      </patternFill>
    </fill>
    <fill>
      <patternFill patternType="solid">
        <fgColor rgb="FF2563EB"/>
        <bgColor rgb="FF2563EB"/>
      </patternFill>
    </fill>
    <fill>
      <patternFill patternType="solid">
        <fgColor rgb="FFD1D5DB"/>
        <bgColor rgb="FFD1D5DB"/>
      </patternFill>
    </fill>
    <fill>
      <patternFill patternType="solid">
        <fgColor rgb="FFE5E7EB"/>
        <bgColor rgb="FFE5E7EB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/>
    <xf numFmtId="164" fontId="4" fillId="0" borderId="0" xfId="0" applyNumberFormat="1" applyFont="1"/>
    <xf numFmtId="0" fontId="5" fillId="0" borderId="0" xfId="0" applyFont="1"/>
    <xf numFmtId="4" fontId="4" fillId="0" borderId="0" xfId="0" applyNumberFormat="1" applyFont="1"/>
    <xf numFmtId="0" fontId="8" fillId="6" borderId="0" xfId="0" applyFont="1" applyFill="1" applyAlignment="1">
      <alignment horizontal="center"/>
    </xf>
    <xf numFmtId="9" fontId="4" fillId="0" borderId="0" xfId="0" applyNumberFormat="1" applyFont="1"/>
    <xf numFmtId="0" fontId="8" fillId="6" borderId="0" xfId="0" applyFont="1" applyFill="1" applyAlignment="1">
      <alignment wrapText="1"/>
    </xf>
    <xf numFmtId="3" fontId="4" fillId="0" borderId="0" xfId="0" applyNumberFormat="1" applyFont="1"/>
    <xf numFmtId="0" fontId="8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1" xfId="0" applyBorder="1"/>
    <xf numFmtId="0" fontId="0" fillId="0" borderId="1" xfId="0" pivotButton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1" xfId="0" applyNumberFormat="1" applyBorder="1"/>
    <xf numFmtId="0" fontId="10" fillId="0" borderId="0" xfId="0" applyFont="1"/>
    <xf numFmtId="49" fontId="14" fillId="0" borderId="0" xfId="0" applyNumberFormat="1" applyFont="1" applyAlignment="1">
      <alignment wrapText="1"/>
    </xf>
    <xf numFmtId="49" fontId="0" fillId="0" borderId="0" xfId="0" applyNumberFormat="1"/>
    <xf numFmtId="0" fontId="11" fillId="8" borderId="0" xfId="0" applyFont="1" applyFill="1" applyAlignment="1">
      <alignment horizontal="center" vertical="center"/>
    </xf>
    <xf numFmtId="49" fontId="14" fillId="0" borderId="2" xfId="0" applyNumberFormat="1" applyFont="1" applyBorder="1" applyAlignment="1">
      <alignment horizontal="left" wrapText="1"/>
    </xf>
    <xf numFmtId="49" fontId="0" fillId="0" borderId="7" xfId="0" applyNumberFormat="1" applyBorder="1" applyAlignment="1">
      <alignment horizontal="left" wrapText="1"/>
    </xf>
    <xf numFmtId="49" fontId="0" fillId="0" borderId="3" xfId="0" applyNumberFormat="1" applyBorder="1" applyAlignment="1">
      <alignment horizontal="left" wrapText="1"/>
    </xf>
    <xf numFmtId="49" fontId="0" fillId="0" borderId="8" xfId="0" applyNumberFormat="1" applyBorder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0" fillId="0" borderId="9" xfId="0" applyNumberFormat="1" applyBorder="1" applyAlignment="1">
      <alignment horizontal="left" wrapText="1"/>
    </xf>
    <xf numFmtId="49" fontId="0" fillId="0" borderId="10" xfId="0" applyNumberFormat="1" applyBorder="1" applyAlignment="1">
      <alignment horizontal="left" wrapText="1"/>
    </xf>
    <xf numFmtId="49" fontId="0" fillId="0" borderId="6" xfId="0" applyNumberFormat="1" applyBorder="1" applyAlignment="1">
      <alignment horizontal="left" wrapText="1"/>
    </xf>
    <xf numFmtId="49" fontId="0" fillId="0" borderId="11" xfId="0" applyNumberFormat="1" applyBorder="1" applyAlignment="1">
      <alignment horizontal="left" wrapText="1"/>
    </xf>
    <xf numFmtId="0" fontId="12" fillId="7" borderId="2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/>
    </xf>
    <xf numFmtId="0" fontId="13" fillId="9" borderId="5" xfId="0" applyFont="1" applyFill="1" applyBorder="1" applyAlignment="1">
      <alignment horizontal="center" vertical="center"/>
    </xf>
    <xf numFmtId="165" fontId="13" fillId="9" borderId="4" xfId="0" applyNumberFormat="1" applyFont="1" applyFill="1" applyBorder="1" applyAlignment="1">
      <alignment horizontal="center" vertical="center"/>
    </xf>
    <xf numFmtId="165" fontId="13" fillId="9" borderId="5" xfId="0" applyNumberFormat="1" applyFont="1" applyFill="1" applyBorder="1" applyAlignment="1">
      <alignment horizontal="center" vertical="center"/>
    </xf>
    <xf numFmtId="10" fontId="13" fillId="9" borderId="1" xfId="0" applyNumberFormat="1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0" borderId="0" xfId="0" applyFont="1"/>
    <xf numFmtId="0" fontId="2" fillId="3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1" xfId="0" applyNumberFormat="1" applyBorder="1"/>
  </cellXfs>
  <cellStyles count="1">
    <cellStyle name="Normal" xfId="0" builtinId="0"/>
  </cellStyles>
  <dxfs count="19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164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rlito"/>
        <scheme val="none"/>
      </font>
      <fill>
        <patternFill patternType="solid">
          <fgColor rgb="FF1F2937"/>
          <bgColor rgb="FF1F293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rgb="FFE5E7EB"/>
          <bgColor rgb="FFE5E7EB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5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customschemas.google.com/relationships/workbookmetadata" Target="metadata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 9 ejercicio.xlsm]Auxiliar!TablaDinámica7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0">
                <a:solidFill>
                  <a:schemeClr val="tx1"/>
                </a:solidFill>
                <a:latin typeface="ADLaM Display" panose="02010000000000000000" pitchFamily="2" charset="0"/>
                <a:ea typeface="ADLaM Display" panose="02010000000000000000" pitchFamily="2" charset="0"/>
                <a:cs typeface="ADLaM Display" panose="02010000000000000000" pitchFamily="2" charset="0"/>
              </a:rPr>
              <a:t>Ventas Netas Por Canal:</a:t>
            </a:r>
          </a:p>
          <a:p>
            <a:pPr>
              <a:defRPr>
                <a:solidFill>
                  <a:schemeClr val="tx1"/>
                </a:solidFill>
              </a:defRPr>
            </a:pPr>
            <a:r>
              <a:rPr lang="es-419" sz="1400" b="1" i="0" u="none" strike="noStrike" cap="none" baseline="0"/>
              <a:t>Retail concentra el mayor volumen de ventas</a:t>
            </a:r>
            <a:endParaRPr lang="en-US" sz="1400" b="1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Auxiliar!$B$2:$B$3</c:f>
              <c:strCache>
                <c:ptCount val="1"/>
                <c:pt idx="0">
                  <c:v>Distribuidor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Auxiliar!$B$4</c:f>
              <c:numCache>
                <c:formatCode>General</c:formatCode>
                <c:ptCount val="1"/>
                <c:pt idx="0">
                  <c:v>122816643.43999998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27-4C68-89A1-1126031FD3A2}"/>
            </c:ext>
          </c:extLst>
        </c:ser>
        <c:ser>
          <c:idx val="1"/>
          <c:order val="1"/>
          <c:tx>
            <c:strRef>
              <c:f>Auxiliar!$C$2:$C$3</c:f>
              <c:strCache>
                <c:ptCount val="1"/>
                <c:pt idx="0">
                  <c:v>E-Commerce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Auxiliar!$C$4</c:f>
              <c:numCache>
                <c:formatCode>General</c:formatCode>
                <c:ptCount val="1"/>
                <c:pt idx="0">
                  <c:v>110795928.72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82-49C9-B80F-06756657B807}"/>
            </c:ext>
          </c:extLst>
        </c:ser>
        <c:ser>
          <c:idx val="2"/>
          <c:order val="2"/>
          <c:tx>
            <c:strRef>
              <c:f>Auxiliar!$D$2:$D$3</c:f>
              <c:strCache>
                <c:ptCount val="1"/>
                <c:pt idx="0">
                  <c:v>Marketplace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Auxiliar!$D$4</c:f>
              <c:numCache>
                <c:formatCode>General</c:formatCode>
                <c:ptCount val="1"/>
                <c:pt idx="0">
                  <c:v>148800880.46000001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82-49C9-B80F-06756657B807}"/>
            </c:ext>
          </c:extLst>
        </c:ser>
        <c:ser>
          <c:idx val="3"/>
          <c:order val="3"/>
          <c:tx>
            <c:strRef>
              <c:f>Auxiliar!$E$2:$E$3</c:f>
              <c:strCache>
                <c:ptCount val="1"/>
                <c:pt idx="0">
                  <c:v>Mayorista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Auxiliar!$E$4</c:f>
              <c:numCache>
                <c:formatCode>General</c:formatCode>
                <c:ptCount val="1"/>
                <c:pt idx="0">
                  <c:v>188654727.49999997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82-49C9-B80F-06756657B807}"/>
            </c:ext>
          </c:extLst>
        </c:ser>
        <c:ser>
          <c:idx val="4"/>
          <c:order val="4"/>
          <c:tx>
            <c:strRef>
              <c:f>Auxiliar!$F$2:$F$3</c:f>
              <c:strCache>
                <c:ptCount val="1"/>
                <c:pt idx="0">
                  <c:v>Online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Auxiliar!$F$4</c:f>
              <c:numCache>
                <c:formatCode>General</c:formatCode>
                <c:ptCount val="1"/>
                <c:pt idx="0">
                  <c:v>189407365.06000003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882-49C9-B80F-06756657B807}"/>
            </c:ext>
          </c:extLst>
        </c:ser>
        <c:ser>
          <c:idx val="5"/>
          <c:order val="5"/>
          <c:tx>
            <c:strRef>
              <c:f>Auxiliar!$G$2:$G$3</c:f>
              <c:strCache>
                <c:ptCount val="1"/>
                <c:pt idx="0">
                  <c:v>Retail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Auxiliar!$A$4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Auxiliar!$G$4</c:f>
              <c:numCache>
                <c:formatCode>General</c:formatCode>
                <c:ptCount val="1"/>
                <c:pt idx="0">
                  <c:v>242644885.08999997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82-49C9-B80F-06756657B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27938367"/>
        <c:axId val="10705487"/>
      </c:barChart>
      <c:catAx>
        <c:axId val="727938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705487"/>
        <c:crosses val="autoZero"/>
        <c:auto val="1"/>
        <c:lblAlgn val="ctr"/>
        <c:lblOffset val="100"/>
        <c:noMultiLvlLbl val="0"/>
      </c:catAx>
      <c:valAx>
        <c:axId val="1070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27938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 9 ejercicio.xlsm]Auxiliar!TablaDinámica3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Netas Por Categoria:</a:t>
            </a:r>
          </a:p>
          <a:p>
            <a:pPr>
              <a:defRPr/>
            </a:pPr>
            <a:r>
              <a:rPr lang="es-419"/>
              <a:t>Tecnología lidera las ventas por categoría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Auxiliar!$B$24</c:f>
              <c:strCache>
                <c:ptCount val="1"/>
                <c:pt idx="0">
                  <c:v>Suma de Ventas_Netas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Auxiliar!$A$25:$A$28</c:f>
              <c:strCache>
                <c:ptCount val="3"/>
                <c:pt idx="0">
                  <c:v>Hogar</c:v>
                </c:pt>
                <c:pt idx="1">
                  <c:v>Oficina</c:v>
                </c:pt>
                <c:pt idx="2">
                  <c:v>Tecnología</c:v>
                </c:pt>
              </c:strCache>
            </c:strRef>
          </c:cat>
          <c:val>
            <c:numRef>
              <c:f>Auxiliar!$B$25:$B$28</c:f>
              <c:numCache>
                <c:formatCode>General</c:formatCode>
                <c:ptCount val="3"/>
                <c:pt idx="0">
                  <c:v>202105868.12000003</c:v>
                </c:pt>
                <c:pt idx="1">
                  <c:v>207082046.06999996</c:v>
                </c:pt>
                <c:pt idx="2">
                  <c:v>593932516.08000004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9-44D9-8CFA-4A67225AAA40}"/>
            </c:ext>
          </c:extLst>
        </c:ser>
        <c:ser>
          <c:idx val="1"/>
          <c:order val="1"/>
          <c:tx>
            <c:strRef>
              <c:f>Auxiliar!$C$24</c:f>
              <c:strCache>
                <c:ptCount val="1"/>
                <c:pt idx="0">
                  <c:v>Margen 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Auxiliar!$A$25:$A$28</c:f>
              <c:strCache>
                <c:ptCount val="3"/>
                <c:pt idx="0">
                  <c:v>Hogar</c:v>
                </c:pt>
                <c:pt idx="1">
                  <c:v>Oficina</c:v>
                </c:pt>
                <c:pt idx="2">
                  <c:v>Tecnología</c:v>
                </c:pt>
              </c:strCache>
            </c:strRef>
          </c:cat>
          <c:val>
            <c:numRef>
              <c:f>Auxiliar!$C$25:$C$28</c:f>
              <c:numCache>
                <c:formatCode>General</c:formatCode>
                <c:ptCount val="3"/>
                <c:pt idx="0">
                  <c:v>70659866.269999981</c:v>
                </c:pt>
                <c:pt idx="1">
                  <c:v>66342092.439999998</c:v>
                </c:pt>
                <c:pt idx="2">
                  <c:v>206964066.01999995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8-41C0-86F6-F4EBE457B3C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8776335"/>
        <c:axId val="53101935"/>
      </c:barChart>
      <c:catAx>
        <c:axId val="14877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53101935"/>
        <c:crosses val="autoZero"/>
        <c:auto val="1"/>
        <c:lblAlgn val="ctr"/>
        <c:lblOffset val="100"/>
        <c:noMultiLvlLbl val="0"/>
      </c:catAx>
      <c:valAx>
        <c:axId val="5310193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48776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 9 ejercicio.xlsm]Auxiliar!TablaDinámica2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ADLaM Display" panose="02010000000000000000" pitchFamily="2" charset="0"/>
                <a:ea typeface="ADLaM Display" panose="02010000000000000000" pitchFamily="2" charset="0"/>
                <a:cs typeface="ADLaM Display" panose="02010000000000000000" pitchFamily="2" charset="0"/>
              </a:defRPr>
            </a:pPr>
            <a:r>
              <a:rPr lang="en-US">
                <a:latin typeface="ADLaM Display" panose="02010000000000000000" pitchFamily="2" charset="0"/>
                <a:ea typeface="ADLaM Display" panose="02010000000000000000" pitchFamily="2" charset="0"/>
                <a:cs typeface="ADLaM Display" panose="02010000000000000000" pitchFamily="2" charset="0"/>
              </a:rPr>
              <a:t>GRAFICO</a:t>
            </a:r>
            <a:r>
              <a:rPr lang="en-US" baseline="0">
                <a:latin typeface="ADLaM Display" panose="02010000000000000000" pitchFamily="2" charset="0"/>
                <a:ea typeface="ADLaM Display" panose="02010000000000000000" pitchFamily="2" charset="0"/>
                <a:cs typeface="ADLaM Display" panose="02010000000000000000" pitchFamily="2" charset="0"/>
              </a:rPr>
              <a:t> MENSUAL:</a:t>
            </a:r>
          </a:p>
          <a:p>
            <a:pPr>
              <a:defRPr>
                <a:latin typeface="ADLaM Display" panose="02010000000000000000" pitchFamily="2" charset="0"/>
                <a:ea typeface="ADLaM Display" panose="02010000000000000000" pitchFamily="2" charset="0"/>
                <a:cs typeface="ADLaM Display" panose="02010000000000000000" pitchFamily="2" charset="0"/>
              </a:defRPr>
            </a:pPr>
            <a:r>
              <a:rPr lang="es-419" b="0" i="0" u="none" strike="noStrike" baseline="0">
                <a:effectLst/>
              </a:rPr>
              <a:t>Las ventas alcanzan su máximo en julio y se recuperan hacia fin de año</a:t>
            </a:r>
            <a:endParaRPr lang="en-US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endParaRPr>
          </a:p>
        </c:rich>
      </c:tx>
      <c:layout>
        <c:manualLayout>
          <c:xMode val="edge"/>
          <c:yMode val="edge"/>
          <c:x val="0.23214532779038735"/>
          <c:y val="5.49611032420769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Auxiliar!$B$8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strRef>
              <c:f>Auxiliar!$A$9:$A$21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Auxiliar!$B$9:$B$21</c:f>
              <c:numCache>
                <c:formatCode>General</c:formatCode>
                <c:ptCount val="12"/>
                <c:pt idx="0">
                  <c:v>74587317.640000015</c:v>
                </c:pt>
                <c:pt idx="1">
                  <c:v>64380716.000000007</c:v>
                </c:pt>
                <c:pt idx="2">
                  <c:v>95487410.269999996</c:v>
                </c:pt>
                <c:pt idx="3">
                  <c:v>50925383.449999988</c:v>
                </c:pt>
                <c:pt idx="4">
                  <c:v>63497435.800000004</c:v>
                </c:pt>
                <c:pt idx="5">
                  <c:v>101383263.25999998</c:v>
                </c:pt>
                <c:pt idx="6">
                  <c:v>125018944.83999999</c:v>
                </c:pt>
                <c:pt idx="7">
                  <c:v>62673740.609999999</c:v>
                </c:pt>
                <c:pt idx="8">
                  <c:v>59677426.870000012</c:v>
                </c:pt>
                <c:pt idx="9">
                  <c:v>86928101.589999989</c:v>
                </c:pt>
                <c:pt idx="10">
                  <c:v>100789415.46999998</c:v>
                </c:pt>
                <c:pt idx="11">
                  <c:v>117771274.47000001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4-469B-A472-017903350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817936"/>
        <c:axId val="679868207"/>
      </c:barChart>
      <c:catAx>
        <c:axId val="83481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79868207"/>
        <c:crosses val="autoZero"/>
        <c:auto val="1"/>
        <c:lblAlgn val="ctr"/>
        <c:lblOffset val="100"/>
        <c:noMultiLvlLbl val="0"/>
      </c:catAx>
      <c:valAx>
        <c:axId val="67986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3481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 i="0" u="none" strike="noStrike" baseline="0"/>
              <a:t>Relación entre Ventas y Margen por Categoría</a:t>
            </a:r>
          </a:p>
          <a:p>
            <a:pPr>
              <a:defRPr b="1"/>
            </a:pPr>
            <a:r>
              <a:rPr lang="es-419" sz="1400" b="1" i="0" u="none" strike="noStrike" baseline="0"/>
              <a:t>Tecnología presenta el mayor nivel de ventas y margen.</a:t>
            </a:r>
            <a:endParaRPr lang="es-419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Auxiliar!$A$25:$A$27</c:f>
              <c:strCache>
                <c:ptCount val="3"/>
                <c:pt idx="0">
                  <c:v>Hogar</c:v>
                </c:pt>
                <c:pt idx="1">
                  <c:v>Oficina</c:v>
                </c:pt>
                <c:pt idx="2">
                  <c:v>Tecnología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Auxiliar!$B$25:$B$27</c:f>
              <c:numCache>
                <c:formatCode>General</c:formatCode>
                <c:ptCount val="3"/>
                <c:pt idx="0">
                  <c:v>202105868.12000003</c:v>
                </c:pt>
                <c:pt idx="1">
                  <c:v>207082046.06999996</c:v>
                </c:pt>
                <c:pt idx="2">
                  <c:v>593932516.08000004</c:v>
                </c:pt>
              </c:numCache>
            </c:numRef>
          </c:xVal>
          <c:yVal>
            <c:numRef>
              <c:f>Auxiliar!$C$25:$C$27</c:f>
              <c:numCache>
                <c:formatCode>General</c:formatCode>
                <c:ptCount val="3"/>
                <c:pt idx="0">
                  <c:v>70659866.269999981</c:v>
                </c:pt>
                <c:pt idx="1">
                  <c:v>66342092.439999998</c:v>
                </c:pt>
                <c:pt idx="2">
                  <c:v>206964066.01999995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45-42FF-893D-1D803ABCE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660832"/>
        <c:axId val="489570863"/>
      </c:scatterChart>
      <c:valAx>
        <c:axId val="47766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89570863"/>
        <c:crosses val="autoZero"/>
        <c:crossBetween val="midCat"/>
      </c:valAx>
      <c:valAx>
        <c:axId val="48957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7766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352800" cy="2000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69600" y="3679988"/>
          <a:ext cx="3352800" cy="200025"/>
        </a:xfrm>
        <a:prstGeom prst="roundRect">
          <a:avLst>
            <a:gd name="adj" fmla="val 16667"/>
          </a:avLst>
        </a:prstGeom>
        <a:solidFill>
          <a:srgbClr val="D1D5DB"/>
        </a:solidFill>
        <a:ln w="9525" cap="flat" cmpd="sng">
          <a:solidFill>
            <a:srgbClr val="9CA3A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825" b="1">
              <a:solidFill>
                <a:srgbClr val="374151"/>
              </a:solidFill>
            </a:rPr>
            <a:t>Resumen General</a:t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</xdr:row>
      <xdr:rowOff>0</xdr:rowOff>
    </xdr:from>
    <xdr:ext cx="3095625" cy="2000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98188" y="3679988"/>
          <a:ext cx="3095625" cy="200025"/>
        </a:xfrm>
        <a:prstGeom prst="roundRect">
          <a:avLst>
            <a:gd name="adj" fmla="val 16667"/>
          </a:avLst>
        </a:prstGeom>
        <a:solidFill>
          <a:srgbClr val="0F766E"/>
        </a:solidFill>
        <a:ln w="9525" cap="flat" cmpd="sng">
          <a:solidFill>
            <a:srgbClr val="1D4ED8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825" b="1">
              <a:solidFill>
                <a:srgbClr val="FFFFFF"/>
              </a:solidFill>
            </a:rPr>
            <a:t>Detalle por Producto</a:t>
          </a: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44162</xdr:colOff>
      <xdr:row>22</xdr:row>
      <xdr:rowOff>104775</xdr:rowOff>
    </xdr:from>
    <xdr:to>
      <xdr:col>3</xdr:col>
      <xdr:colOff>1325707</xdr:colOff>
      <xdr:row>42</xdr:row>
      <xdr:rowOff>113433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F855EF-7DFC-4E2E-9FAE-AAD75D685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1346743</xdr:colOff>
      <xdr:row>22</xdr:row>
      <xdr:rowOff>104775</xdr:rowOff>
    </xdr:from>
    <xdr:to>
      <xdr:col>8</xdr:col>
      <xdr:colOff>17318</xdr:colOff>
      <xdr:row>42</xdr:row>
      <xdr:rowOff>105640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7000A8-F807-4312-9416-AACF730A2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802820</xdr:colOff>
      <xdr:row>3</xdr:row>
      <xdr:rowOff>639534</xdr:rowOff>
    </xdr:from>
    <xdr:to>
      <xdr:col>13</xdr:col>
      <xdr:colOff>631805</xdr:colOff>
      <xdr:row>13</xdr:row>
      <xdr:rowOff>40820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nal">
              <a:extLst>
                <a:ext uri="{FF2B5EF4-FFF2-40B4-BE49-F238E27FC236}">
                  <a16:creationId xmlns:a16="http://schemas.microsoft.com/office/drawing/2014/main" id="{8E9ACA4D-1FFC-49F2-A43A-C3C926F3EC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78002" y="2336716"/>
              <a:ext cx="2322803" cy="1739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34635</xdr:colOff>
      <xdr:row>4</xdr:row>
      <xdr:rowOff>103909</xdr:rowOff>
    </xdr:from>
    <xdr:to>
      <xdr:col>8</xdr:col>
      <xdr:colOff>34636</xdr:colOff>
      <xdr:row>22</xdr:row>
      <xdr:rowOff>103908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CFC012-47B4-45E0-96D5-C6B1B2B5D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77931</xdr:colOff>
      <xdr:row>3</xdr:row>
      <xdr:rowOff>642938</xdr:rowOff>
    </xdr:from>
    <xdr:to>
      <xdr:col>10</xdr:col>
      <xdr:colOff>789214</xdr:colOff>
      <xdr:row>13</xdr:row>
      <xdr:rowOff>51090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ía">
              <a:extLst>
                <a:ext uri="{FF2B5EF4-FFF2-40B4-BE49-F238E27FC236}">
                  <a16:creationId xmlns:a16="http://schemas.microsoft.com/office/drawing/2014/main" id="{6AB5073B-B5E7-42D3-8664-30346D4CE4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48113" y="2556164"/>
              <a:ext cx="2346614" cy="15300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94322</xdr:colOff>
      <xdr:row>13</xdr:row>
      <xdr:rowOff>79170</xdr:rowOff>
    </xdr:from>
    <xdr:to>
      <xdr:col>13</xdr:col>
      <xdr:colOff>658091</xdr:colOff>
      <xdr:row>22</xdr:row>
      <xdr:rowOff>34636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Región">
              <a:extLst>
                <a:ext uri="{FF2B5EF4-FFF2-40B4-BE49-F238E27FC236}">
                  <a16:creationId xmlns:a16="http://schemas.microsoft.com/office/drawing/2014/main" id="{5E2525DF-41C3-40F3-98CD-62E652836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64504" y="4114306"/>
              <a:ext cx="2330223" cy="15141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38100</xdr:colOff>
      <xdr:row>22</xdr:row>
      <xdr:rowOff>116465</xdr:rowOff>
    </xdr:from>
    <xdr:to>
      <xdr:col>13</xdr:col>
      <xdr:colOff>692727</xdr:colOff>
      <xdr:row>42</xdr:row>
      <xdr:rowOff>155864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00D47DE-52D2-4BC2-A7C7-7CABB26A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6253.051170254628" backgroundQuery="1" createdVersion="8" refreshedVersion="8" minRefreshableVersion="3" recordCount="0" supportSubquery="1" supportAdvancedDrill="1" xr:uid="{13A18160-7FE8-4C3B-8986-C3312434FF89}">
  <cacheSource type="external" connectionId="2"/>
  <cacheFields count="3">
    <cacheField name="[tbl_Ventas].[Mes].[Mes]" caption="Mes" numFmtId="0" hierarchy="2" level="1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[Measures].[Suma de Ventas_Netas 2]" caption="Suma de Ventas_Netas 2" numFmtId="0" hierarchy="46" level="32767"/>
    <cacheField name="[tbl_Ventas].[Región].[Región]" caption="Región" numFmtId="0" hierarchy="4" level="1">
      <sharedItems containsSemiMixedTypes="0" containsNonDate="0" containsString="0"/>
    </cacheField>
  </cacheFields>
  <cacheHierarchies count="50">
    <cacheHierarchy uniqueName="[tbl_Ventas].[Fecha]" caption="Fecha" attribute="1" time="1" defaultMemberUniqueName="[tbl_Ventas].[Fecha].[All]" allUniqueName="[tbl_Ventas].[Fecha].[All]" dimensionUniqueName="[tbl_Ventas]" displayFolder="" count="0" memberValueDatatype="7" unbalanced="0"/>
    <cacheHierarchy uniqueName="[tbl_Ventas].[Año]" caption="Año" attribute="1" defaultMemberUniqueName="[tbl_Ventas].[Año].[All]" allUniqueName="[tbl_Ventas].[Año].[All]" dimensionUniqueName="[tbl_Ventas]" displayFolder="" count="0" memberValueDatatype="20" unbalanced="0"/>
    <cacheHierarchy uniqueName="[tbl_Ventas].[Mes]" caption="Mes" attribute="1" defaultMemberUniqueName="[tbl_Ventas].[Mes].[All]" allUniqueName="[tbl_Ventas].[Mes].[All]" dimensionUniqueName="[tbl_Ventas]" displayFolder="" count="2" memberValueDatatype="130" unbalanced="0">
      <fieldsUsage count="2">
        <fieldUsage x="-1"/>
        <fieldUsage x="0"/>
      </fieldsUsage>
    </cacheHierarchy>
    <cacheHierarchy uniqueName="[tbl_Ventas].[Trimestre]" caption="Trimestre" attribute="1" defaultMemberUniqueName="[tbl_Ventas].[Trimestre].[All]" allUniqueName="[tbl_Ventas].[Trimestre].[All]" dimensionUniqueName="[tbl_Ventas]" displayFolder="" count="0" memberValueDatatype="130" unbalanced="0"/>
    <cacheHierarchy uniqueName="[tbl_Ventas].[Región]" caption="Región" attribute="1" defaultMemberUniqueName="[tbl_Ventas].[Región].[All]" allUniqueName="[tbl_Ventas].[Región].[All]" dimensionUniqueName="[tbl_Ventas]" displayFolder="" count="2" memberValueDatatype="130" unbalanced="0">
      <fieldsUsage count="2">
        <fieldUsage x="-1"/>
        <fieldUsage x="2"/>
      </fieldsUsage>
    </cacheHierarchy>
    <cacheHierarchy uniqueName="[tbl_Ventas].[Canal]" caption="Canal" attribute="1" defaultMemberUniqueName="[tbl_Ventas].[Canal].[All]" allUniqueName="[tbl_Ventas].[Canal].[All]" dimensionUniqueName="[tbl_Ventas]" displayFolder="" count="2" memberValueDatatype="130" unbalanced="0"/>
    <cacheHierarchy uniqueName="[tbl_Ventas].[Cliente]" caption="Cliente" attribute="1" defaultMemberUniqueName="[tbl_Ventas].[Cliente].[All]" allUniqueName="[tbl_Ventas].[Cliente].[All]" dimensionUniqueName="[tbl_Ventas]" displayFolder="" count="0" memberValueDatatype="130" unbalanced="0"/>
    <cacheHierarchy uniqueName="[tbl_Ventas].[Producto]" caption="Producto" attribute="1" defaultMemberUniqueName="[tbl_Ventas].[Producto].[All]" allUniqueName="[tbl_Ventas].[Producto].[All]" dimensionUniqueName="[tbl_Ventas]" displayFolder="" count="0" memberValueDatatype="130" unbalanced="0"/>
    <cacheHierarchy uniqueName="[tbl_Ventas].[Categoría]" caption="Categoría" attribute="1" defaultMemberUniqueName="[tbl_Ventas].[Categoría].[All]" allUniqueName="[tbl_Ventas].[Categoría].[All]" dimensionUniqueName="[tbl_Ventas]" displayFolder="" count="2" memberValueDatatype="130" unbalanced="0"/>
    <cacheHierarchy uniqueName="[tbl_Ventas].[Subcategoría]" caption="Subcategoría" attribute="1" defaultMemberUniqueName="[tbl_Ventas].[Subcategoría].[All]" allUniqueName="[tbl_Ventas].[Subcategoría].[All]" dimensionUniqueName="[tbl_Ventas]" displayFolder="" count="0" memberValueDatatype="130" unbalanced="0"/>
    <cacheHierarchy uniqueName="[tbl_Ventas].[Vendedor]" caption="Vendedor" attribute="1" defaultMemberUniqueName="[tbl_Ventas].[Vendedor].[All]" allUniqueName="[tbl_Ventas].[Vendedor].[All]" dimensionUniqueName="[tbl_Ventas]" displayFolder="" count="0" memberValueDatatype="130" unbalanced="0"/>
    <cacheHierarchy uniqueName="[tbl_Ventas].[Unidades]" caption="Unidades" attribute="1" defaultMemberUniqueName="[tbl_Ventas].[Unidades].[All]" allUniqueName="[tbl_Ventas].[Unidades].[All]" dimensionUniqueName="[tbl_Ventas]" displayFolder="" count="0" memberValueDatatype="20" unbalanced="0"/>
    <cacheHierarchy uniqueName="[tbl_Ventas].[Precio_Lista]" caption="Precio_Lista" attribute="1" defaultMemberUniqueName="[tbl_Ventas].[Precio_Lista].[All]" allUniqueName="[tbl_Ventas].[Precio_Lista].[All]" dimensionUniqueName="[tbl_Ventas]" displayFolder="" count="0" memberValueDatatype="20" unbalanced="0"/>
    <cacheHierarchy uniqueName="[tbl_Ventas].[Descuento_%]" caption="Descuento_%" attribute="1" defaultMemberUniqueName="[tbl_Ventas].[Descuento_%].[All]" allUniqueName="[tbl_Ventas].[Descuento_%].[All]" dimensionUniqueName="[tbl_Ventas]" displayFolder="" count="0" memberValueDatatype="5" unbalanced="0"/>
    <cacheHierarchy uniqueName="[tbl_Ventas].[Costo_Unitario]" caption="Costo_Unitario" attribute="1" defaultMemberUniqueName="[tbl_Ventas].[Costo_Unitario].[All]" allUniqueName="[tbl_Ventas].[Costo_Unitario].[All]" dimensionUniqueName="[tbl_Ventas]" displayFolder="" count="0" memberValueDatatype="5" unbalanced="0"/>
    <cacheHierarchy uniqueName="[tbl_Ventas].[Ventas_Brutas]" caption="Ventas_Brutas" attribute="1" defaultMemberUniqueName="[tbl_Ventas].[Ventas_Brutas].[All]" allUniqueName="[tbl_Ventas].[Ventas_Brutas].[All]" dimensionUniqueName="[tbl_Ventas]" displayFolder="" count="0" memberValueDatatype="20" unbalanced="0"/>
    <cacheHierarchy uniqueName="[tbl_Ventas].[Ventas_Netas]" caption="Ventas_Netas" attribute="1" defaultMemberUniqueName="[tbl_Ventas].[Ventas_Netas].[All]" allUniqueName="[tbl_Ventas].[Ventas_Netas].[All]" dimensionUniqueName="[tbl_Ventas]" displayFolder="" count="0" memberValueDatatype="5" unbalanced="0"/>
    <cacheHierarchy uniqueName="[tbl_Ventas].[Margen]" caption="Margen" attribute="1" defaultMemberUniqueName="[tbl_Ventas].[Margen].[All]" allUniqueName="[tbl_Ventas].[Margen].[All]" dimensionUniqueName="[tbl_Ventas]" displayFolder="" count="0" memberValueDatatype="5" unbalanced="0"/>
    <cacheHierarchy uniqueName="[tbl_Ventas].[Estado_Pedido]" caption="Estado_Pedido" attribute="1" defaultMemberUniqueName="[tbl_Ventas].[Estado_Pedido].[All]" allUniqueName="[tbl_Ventas].[Estado_Pedido].[All]" dimensionUniqueName="[tbl_Ventas]" displayFolder="" count="0" memberValueDatatype="130" unbalanced="0"/>
    <cacheHierarchy uniqueName="[tbl_Ventas 1].[Fecha]" caption="Fecha" attribute="1" time="1" defaultMemberUniqueName="[tbl_Ventas 1].[Fecha].[All]" allUniqueName="[tbl_Ventas 1].[Fecha].[All]" dimensionUniqueName="[tbl_Ventas 1]" displayFolder="" count="0" memberValueDatatype="7" unbalanced="0"/>
    <cacheHierarchy uniqueName="[tbl_Ventas 1].[Año]" caption="Año" attribute="1" defaultMemberUniqueName="[tbl_Ventas 1].[Año].[All]" allUniqueName="[tbl_Ventas 1].[Año].[All]" dimensionUniqueName="[tbl_Ventas 1]" displayFolder="" count="0" memberValueDatatype="20" unbalanced="0"/>
    <cacheHierarchy uniqueName="[tbl_Ventas 1].[Mes]" caption="Mes" attribute="1" defaultMemberUniqueName="[tbl_Ventas 1].[Mes].[All]" allUniqueName="[tbl_Ventas 1].[Mes].[All]" dimensionUniqueName="[tbl_Ventas 1]" displayFolder="" count="0" memberValueDatatype="130" unbalanced="0"/>
    <cacheHierarchy uniqueName="[tbl_Ventas 1].[Trimestre]" caption="Trimestre" attribute="1" defaultMemberUniqueName="[tbl_Ventas 1].[Trimestre].[All]" allUniqueName="[tbl_Ventas 1].[Trimestre].[All]" dimensionUniqueName="[tbl_Ventas 1]" displayFolder="" count="0" memberValueDatatype="130" unbalanced="0"/>
    <cacheHierarchy uniqueName="[tbl_Ventas 1].[Región]" caption="Región" attribute="1" defaultMemberUniqueName="[tbl_Ventas 1].[Región].[All]" allUniqueName="[tbl_Ventas 1].[Región].[All]" dimensionUniqueName="[tbl_Ventas 1]" displayFolder="" count="0" memberValueDatatype="130" unbalanced="0"/>
    <cacheHierarchy uniqueName="[tbl_Ventas 1].[Canal]" caption="Canal" attribute="1" defaultMemberUniqueName="[tbl_Ventas 1].[Canal].[All]" allUniqueName="[tbl_Ventas 1].[Canal].[All]" dimensionUniqueName="[tbl_Ventas 1]" displayFolder="" count="0" memberValueDatatype="130" unbalanced="0"/>
    <cacheHierarchy uniqueName="[tbl_Ventas 1].[Cliente]" caption="Cliente" attribute="1" defaultMemberUniqueName="[tbl_Ventas 1].[Cliente].[All]" allUniqueName="[tbl_Ventas 1].[Cliente].[All]" dimensionUniqueName="[tbl_Ventas 1]" displayFolder="" count="0" memberValueDatatype="130" unbalanced="0"/>
    <cacheHierarchy uniqueName="[tbl_Ventas 1].[Producto]" caption="Producto" attribute="1" defaultMemberUniqueName="[tbl_Ventas 1].[Producto].[All]" allUniqueName="[tbl_Ventas 1].[Producto].[All]" dimensionUniqueName="[tbl_Ventas 1]" displayFolder="" count="0" memberValueDatatype="130" unbalanced="0"/>
    <cacheHierarchy uniqueName="[tbl_Ventas 1].[Categoría]" caption="Categoría" attribute="1" defaultMemberUniqueName="[tbl_Ventas 1].[Categoría].[All]" allUniqueName="[tbl_Ventas 1].[Categoría].[All]" dimensionUniqueName="[tbl_Ventas 1]" displayFolder="" count="0" memberValueDatatype="130" unbalanced="0"/>
    <cacheHierarchy uniqueName="[tbl_Ventas 1].[Subcategoría]" caption="Subcategoría" attribute="1" defaultMemberUniqueName="[tbl_Ventas 1].[Subcategoría].[All]" allUniqueName="[tbl_Ventas 1].[Subcategoría].[All]" dimensionUniqueName="[tbl_Ventas 1]" displayFolder="" count="0" memberValueDatatype="130" unbalanced="0"/>
    <cacheHierarchy uniqueName="[tbl_Ventas 1].[Vendedor]" caption="Vendedor" attribute="1" defaultMemberUniqueName="[tbl_Ventas 1].[Vendedor].[All]" allUniqueName="[tbl_Ventas 1].[Vendedor].[All]" dimensionUniqueName="[tbl_Ventas 1]" displayFolder="" count="0" memberValueDatatype="130" unbalanced="0"/>
    <cacheHierarchy uniqueName="[tbl_Ventas 1].[Unidades]" caption="Unidades" attribute="1" defaultMemberUniqueName="[tbl_Ventas 1].[Unidades].[All]" allUniqueName="[tbl_Ventas 1].[Unidades].[All]" dimensionUniqueName="[tbl_Ventas 1]" displayFolder="" count="0" memberValueDatatype="20" unbalanced="0"/>
    <cacheHierarchy uniqueName="[tbl_Ventas 1].[Precio_Lista]" caption="Precio_Lista" attribute="1" defaultMemberUniqueName="[tbl_Ventas 1].[Precio_Lista].[All]" allUniqueName="[tbl_Ventas 1].[Precio_Lista].[All]" dimensionUniqueName="[tbl_Ventas 1]" displayFolder="" count="0" memberValueDatatype="20" unbalanced="0"/>
    <cacheHierarchy uniqueName="[tbl_Ventas 1].[Descuento_%]" caption="Descuento_%" attribute="1" defaultMemberUniqueName="[tbl_Ventas 1].[Descuento_%].[All]" allUniqueName="[tbl_Ventas 1].[Descuento_%].[All]" dimensionUniqueName="[tbl_Ventas 1]" displayFolder="" count="0" memberValueDatatype="5" unbalanced="0"/>
    <cacheHierarchy uniqueName="[tbl_Ventas 1].[Costo_Unitario]" caption="Costo_Unitario" attribute="1" defaultMemberUniqueName="[tbl_Ventas 1].[Costo_Unitario].[All]" allUniqueName="[tbl_Ventas 1].[Costo_Unitario].[All]" dimensionUniqueName="[tbl_Ventas 1]" displayFolder="" count="0" memberValueDatatype="5" unbalanced="0"/>
    <cacheHierarchy uniqueName="[tbl_Ventas 1].[Ventas_Brutas]" caption="Ventas_Brutas" attribute="1" defaultMemberUniqueName="[tbl_Ventas 1].[Ventas_Brutas].[All]" allUniqueName="[tbl_Ventas 1].[Ventas_Brutas].[All]" dimensionUniqueName="[tbl_Ventas 1]" displayFolder="" count="0" memberValueDatatype="20" unbalanced="0"/>
    <cacheHierarchy uniqueName="[tbl_Ventas 1].[Ventas_Netas]" caption="Ventas_Netas" attribute="1" defaultMemberUniqueName="[tbl_Ventas 1].[Ventas_Netas].[All]" allUniqueName="[tbl_Ventas 1].[Ventas_Netas].[All]" dimensionUniqueName="[tbl_Ventas 1]" displayFolder="" count="0" memberValueDatatype="5" unbalanced="0"/>
    <cacheHierarchy uniqueName="[tbl_Ventas 1].[Margen]" caption="Margen" attribute="1" defaultMemberUniqueName="[tbl_Ventas 1].[Margen].[All]" allUniqueName="[tbl_Ventas 1].[Margen].[All]" dimensionUniqueName="[tbl_Ventas 1]" displayFolder="" count="0" memberValueDatatype="5" unbalanced="0"/>
    <cacheHierarchy uniqueName="[tbl_Ventas 1].[Estado_Pedido]" caption="Estado_Pedido" attribute="1" defaultMemberUniqueName="[tbl_Ventas 1].[Estado_Pedido].[All]" allUniqueName="[tbl_Ventas 1].[Estado_Pedido].[All]" dimensionUniqueName="[tbl_Ventas 1]" displayFolder="" count="0" memberValueDatatype="130" unbalanced="0"/>
    <cacheHierarchy uniqueName="[Measures].[Ventas Totales]" caption="Ventas Totales" measure="1" displayFolder="" measureGroup="tbl_Ventas" count="0"/>
    <cacheHierarchy uniqueName="[Measures].[Margen Total]" caption="Margen Total" measure="1" displayFolder="" measureGroup="tbl_Ventas" count="0"/>
    <cacheHierarchy uniqueName="[Measures].[Porcentaje]" caption="Porcentaje" measure="1" displayFolder="" measureGroup="tbl_Ventas" count="0"/>
    <cacheHierarchy uniqueName="[Measures].[Unidades Vendidas]" caption="Unidades Vendidas" measure="1" displayFolder="" measureGroup="tbl_Ventas" count="0"/>
    <cacheHierarchy uniqueName="[Measures].[__XL_Count tbl_Ventas]" caption="__XL_Count tbl_Ventas" measure="1" displayFolder="" measureGroup="tbl_Ventas" count="0" hidden="1"/>
    <cacheHierarchy uniqueName="[Measures].[__XL_Count tbl_Ventas 1]" caption="__XL_Count tbl_Ventas 1" measure="1" displayFolder="" measureGroup="tbl_Ventas 1" count="0" hidden="1"/>
    <cacheHierarchy uniqueName="[Measures].[__No measures defined]" caption="__No measures defined" measure="1" displayFolder="" count="0" hidden="1"/>
    <cacheHierarchy uniqueName="[Measures].[Suma de Ventas_Netas]" caption="Suma de Ventas_Netas" measure="1" displayFolder="" measureGroup="tbl_Ventas 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Ventas_Netas 2]" caption="Suma de Ventas_Netas 2" measure="1" displayFolder="" measureGroup="tbl_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Margen]" caption="Suma de Margen" measure="1" displayFolder="" measureGroup="tbl_V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Ventas_Brutas]" caption="Suma de Ventas_Brutas" measure="1" displayFolder="" measureGroup="tbl_Vent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argen 2]" caption="Suma de Margen 2" measure="1" displayFolder="" measureGroup="tbl_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3">
    <dimension measure="1" name="Measures" uniqueName="[Measures]" caption="Measures"/>
    <dimension name="tbl_Ventas" uniqueName="[tbl_Ventas]" caption="tbl_Ventas"/>
    <dimension name="tbl_Ventas 1" uniqueName="[tbl_Ventas 1]" caption="tbl_Ventas 1"/>
  </dimensions>
  <measureGroups count="2">
    <measureGroup name="tbl_Ventas" caption="tbl_Ventas"/>
    <measureGroup name="tbl_Ventas 1" caption="tbl_Ventas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6253.051170833336" backgroundQuery="1" createdVersion="8" refreshedVersion="8" minRefreshableVersion="3" recordCount="0" supportSubquery="1" supportAdvancedDrill="1" xr:uid="{946FACBE-E328-430C-A55F-F065AD45C1A4}">
  <cacheSource type="external" connectionId="2"/>
  <cacheFields count="5">
    <cacheField name="[tbl_Ventas].[Categoría].[Categoría]" caption="Categoría" numFmtId="0" hierarchy="8" level="1">
      <sharedItems count="3">
        <s v="Hogar"/>
        <s v="Oficina"/>
        <s v="Tecnología"/>
      </sharedItems>
    </cacheField>
    <cacheField name="[Measures].[Suma de Ventas_Netas 2]" caption="Suma de Ventas_Netas 2" numFmtId="0" hierarchy="46" level="32767"/>
    <cacheField name="[tbl_Ventas].[Mes].[Mes]" caption="Mes" numFmtId="0" hierarchy="2" level="1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[Measures].[Margen Total]" caption="Margen Total" numFmtId="0" hierarchy="39" level="32767"/>
    <cacheField name="[tbl_Ventas].[Región].[Región]" caption="Región" numFmtId="0" hierarchy="4" level="1">
      <sharedItems containsSemiMixedTypes="0" containsNonDate="0" containsString="0"/>
    </cacheField>
  </cacheFields>
  <cacheHierarchies count="50">
    <cacheHierarchy uniqueName="[tbl_Ventas].[Fecha]" caption="Fecha" attribute="1" time="1" defaultMemberUniqueName="[tbl_Ventas].[Fecha].[All]" allUniqueName="[tbl_Ventas].[Fecha].[All]" dimensionUniqueName="[tbl_Ventas]" displayFolder="" count="0" memberValueDatatype="7" unbalanced="0"/>
    <cacheHierarchy uniqueName="[tbl_Ventas].[Año]" caption="Año" attribute="1" defaultMemberUniqueName="[tbl_Ventas].[Año].[All]" allUniqueName="[tbl_Ventas].[Año].[All]" dimensionUniqueName="[tbl_Ventas]" displayFolder="" count="0" memberValueDatatype="20" unbalanced="0"/>
    <cacheHierarchy uniqueName="[tbl_Ventas].[Mes]" caption="Mes" attribute="1" defaultMemberUniqueName="[tbl_Ventas].[Mes].[All]" allUniqueName="[tbl_Ventas].[Mes].[All]" dimensionUniqueName="[tbl_Ventas]" displayFolder="" count="2" memberValueDatatype="130" unbalanced="0">
      <fieldsUsage count="2">
        <fieldUsage x="-1"/>
        <fieldUsage x="2"/>
      </fieldsUsage>
    </cacheHierarchy>
    <cacheHierarchy uniqueName="[tbl_Ventas].[Trimestre]" caption="Trimestre" attribute="1" defaultMemberUniqueName="[tbl_Ventas].[Trimestre].[All]" allUniqueName="[tbl_Ventas].[Trimestre].[All]" dimensionUniqueName="[tbl_Ventas]" displayFolder="" count="0" memberValueDatatype="130" unbalanced="0"/>
    <cacheHierarchy uniqueName="[tbl_Ventas].[Región]" caption="Región" attribute="1" defaultMemberUniqueName="[tbl_Ventas].[Región].[All]" allUniqueName="[tbl_Ventas].[Región].[All]" dimensionUniqueName="[tbl_Ventas]" displayFolder="" count="2" memberValueDatatype="130" unbalanced="0">
      <fieldsUsage count="2">
        <fieldUsage x="-1"/>
        <fieldUsage x="4"/>
      </fieldsUsage>
    </cacheHierarchy>
    <cacheHierarchy uniqueName="[tbl_Ventas].[Canal]" caption="Canal" attribute="1" defaultMemberUniqueName="[tbl_Ventas].[Canal].[All]" allUniqueName="[tbl_Ventas].[Canal].[All]" dimensionUniqueName="[tbl_Ventas]" displayFolder="" count="2" memberValueDatatype="130" unbalanced="0"/>
    <cacheHierarchy uniqueName="[tbl_Ventas].[Cliente]" caption="Cliente" attribute="1" defaultMemberUniqueName="[tbl_Ventas].[Cliente].[All]" allUniqueName="[tbl_Ventas].[Cliente].[All]" dimensionUniqueName="[tbl_Ventas]" displayFolder="" count="0" memberValueDatatype="130" unbalanced="0"/>
    <cacheHierarchy uniqueName="[tbl_Ventas].[Producto]" caption="Producto" attribute="1" defaultMemberUniqueName="[tbl_Ventas].[Producto].[All]" allUniqueName="[tbl_Ventas].[Producto].[All]" dimensionUniqueName="[tbl_Ventas]" displayFolder="" count="0" memberValueDatatype="130" unbalanced="0"/>
    <cacheHierarchy uniqueName="[tbl_Ventas].[Categoría]" caption="Categoría" attribute="1" defaultMemberUniqueName="[tbl_Ventas].[Categoría].[All]" allUniqueName="[tbl_Ventas].[Categoría].[All]" dimensionUniqueName="[tbl_Ventas]" displayFolder="" count="2" memberValueDatatype="130" unbalanced="0">
      <fieldsUsage count="2">
        <fieldUsage x="-1"/>
        <fieldUsage x="0"/>
      </fieldsUsage>
    </cacheHierarchy>
    <cacheHierarchy uniqueName="[tbl_Ventas].[Subcategoría]" caption="Subcategoría" attribute="1" defaultMemberUniqueName="[tbl_Ventas].[Subcategoría].[All]" allUniqueName="[tbl_Ventas].[Subcategoría].[All]" dimensionUniqueName="[tbl_Ventas]" displayFolder="" count="0" memberValueDatatype="130" unbalanced="0"/>
    <cacheHierarchy uniqueName="[tbl_Ventas].[Vendedor]" caption="Vendedor" attribute="1" defaultMemberUniqueName="[tbl_Ventas].[Vendedor].[All]" allUniqueName="[tbl_Ventas].[Vendedor].[All]" dimensionUniqueName="[tbl_Ventas]" displayFolder="" count="0" memberValueDatatype="130" unbalanced="0"/>
    <cacheHierarchy uniqueName="[tbl_Ventas].[Unidades]" caption="Unidades" attribute="1" defaultMemberUniqueName="[tbl_Ventas].[Unidades].[All]" allUniqueName="[tbl_Ventas].[Unidades].[All]" dimensionUniqueName="[tbl_Ventas]" displayFolder="" count="0" memberValueDatatype="20" unbalanced="0"/>
    <cacheHierarchy uniqueName="[tbl_Ventas].[Precio_Lista]" caption="Precio_Lista" attribute="1" defaultMemberUniqueName="[tbl_Ventas].[Precio_Lista].[All]" allUniqueName="[tbl_Ventas].[Precio_Lista].[All]" dimensionUniqueName="[tbl_Ventas]" displayFolder="" count="0" memberValueDatatype="20" unbalanced="0"/>
    <cacheHierarchy uniqueName="[tbl_Ventas].[Descuento_%]" caption="Descuento_%" attribute="1" defaultMemberUniqueName="[tbl_Ventas].[Descuento_%].[All]" allUniqueName="[tbl_Ventas].[Descuento_%].[All]" dimensionUniqueName="[tbl_Ventas]" displayFolder="" count="0" memberValueDatatype="5" unbalanced="0"/>
    <cacheHierarchy uniqueName="[tbl_Ventas].[Costo_Unitario]" caption="Costo_Unitario" attribute="1" defaultMemberUniqueName="[tbl_Ventas].[Costo_Unitario].[All]" allUniqueName="[tbl_Ventas].[Costo_Unitario].[All]" dimensionUniqueName="[tbl_Ventas]" displayFolder="" count="0" memberValueDatatype="5" unbalanced="0"/>
    <cacheHierarchy uniqueName="[tbl_Ventas].[Ventas_Brutas]" caption="Ventas_Brutas" attribute="1" defaultMemberUniqueName="[tbl_Ventas].[Ventas_Brutas].[All]" allUniqueName="[tbl_Ventas].[Ventas_Brutas].[All]" dimensionUniqueName="[tbl_Ventas]" displayFolder="" count="0" memberValueDatatype="20" unbalanced="0"/>
    <cacheHierarchy uniqueName="[tbl_Ventas].[Ventas_Netas]" caption="Ventas_Netas" attribute="1" defaultMemberUniqueName="[tbl_Ventas].[Ventas_Netas].[All]" allUniqueName="[tbl_Ventas].[Ventas_Netas].[All]" dimensionUniqueName="[tbl_Ventas]" displayFolder="" count="0" memberValueDatatype="5" unbalanced="0"/>
    <cacheHierarchy uniqueName="[tbl_Ventas].[Margen]" caption="Margen" attribute="1" defaultMemberUniqueName="[tbl_Ventas].[Margen].[All]" allUniqueName="[tbl_Ventas].[Margen].[All]" dimensionUniqueName="[tbl_Ventas]" displayFolder="" count="0" memberValueDatatype="5" unbalanced="0"/>
    <cacheHierarchy uniqueName="[tbl_Ventas].[Estado_Pedido]" caption="Estado_Pedido" attribute="1" defaultMemberUniqueName="[tbl_Ventas].[Estado_Pedido].[All]" allUniqueName="[tbl_Ventas].[Estado_Pedido].[All]" dimensionUniqueName="[tbl_Ventas]" displayFolder="" count="0" memberValueDatatype="130" unbalanced="0"/>
    <cacheHierarchy uniqueName="[tbl_Ventas 1].[Fecha]" caption="Fecha" attribute="1" time="1" defaultMemberUniqueName="[tbl_Ventas 1].[Fecha].[All]" allUniqueName="[tbl_Ventas 1].[Fecha].[All]" dimensionUniqueName="[tbl_Ventas 1]" displayFolder="" count="0" memberValueDatatype="7" unbalanced="0"/>
    <cacheHierarchy uniqueName="[tbl_Ventas 1].[Año]" caption="Año" attribute="1" defaultMemberUniqueName="[tbl_Ventas 1].[Año].[All]" allUniqueName="[tbl_Ventas 1].[Año].[All]" dimensionUniqueName="[tbl_Ventas 1]" displayFolder="" count="0" memberValueDatatype="20" unbalanced="0"/>
    <cacheHierarchy uniqueName="[tbl_Ventas 1].[Mes]" caption="Mes" attribute="1" defaultMemberUniqueName="[tbl_Ventas 1].[Mes].[All]" allUniqueName="[tbl_Ventas 1].[Mes].[All]" dimensionUniqueName="[tbl_Ventas 1]" displayFolder="" count="0" memberValueDatatype="130" unbalanced="0"/>
    <cacheHierarchy uniqueName="[tbl_Ventas 1].[Trimestre]" caption="Trimestre" attribute="1" defaultMemberUniqueName="[tbl_Ventas 1].[Trimestre].[All]" allUniqueName="[tbl_Ventas 1].[Trimestre].[All]" dimensionUniqueName="[tbl_Ventas 1]" displayFolder="" count="0" memberValueDatatype="130" unbalanced="0"/>
    <cacheHierarchy uniqueName="[tbl_Ventas 1].[Región]" caption="Región" attribute="1" defaultMemberUniqueName="[tbl_Ventas 1].[Región].[All]" allUniqueName="[tbl_Ventas 1].[Región].[All]" dimensionUniqueName="[tbl_Ventas 1]" displayFolder="" count="0" memberValueDatatype="130" unbalanced="0"/>
    <cacheHierarchy uniqueName="[tbl_Ventas 1].[Canal]" caption="Canal" attribute="1" defaultMemberUniqueName="[tbl_Ventas 1].[Canal].[All]" allUniqueName="[tbl_Ventas 1].[Canal].[All]" dimensionUniqueName="[tbl_Ventas 1]" displayFolder="" count="0" memberValueDatatype="130" unbalanced="0"/>
    <cacheHierarchy uniqueName="[tbl_Ventas 1].[Cliente]" caption="Cliente" attribute="1" defaultMemberUniqueName="[tbl_Ventas 1].[Cliente].[All]" allUniqueName="[tbl_Ventas 1].[Cliente].[All]" dimensionUniqueName="[tbl_Ventas 1]" displayFolder="" count="0" memberValueDatatype="130" unbalanced="0"/>
    <cacheHierarchy uniqueName="[tbl_Ventas 1].[Producto]" caption="Producto" attribute="1" defaultMemberUniqueName="[tbl_Ventas 1].[Producto].[All]" allUniqueName="[tbl_Ventas 1].[Producto].[All]" dimensionUniqueName="[tbl_Ventas 1]" displayFolder="" count="0" memberValueDatatype="130" unbalanced="0"/>
    <cacheHierarchy uniqueName="[tbl_Ventas 1].[Categoría]" caption="Categoría" attribute="1" defaultMemberUniqueName="[tbl_Ventas 1].[Categoría].[All]" allUniqueName="[tbl_Ventas 1].[Categoría].[All]" dimensionUniqueName="[tbl_Ventas 1]" displayFolder="" count="0" memberValueDatatype="130" unbalanced="0"/>
    <cacheHierarchy uniqueName="[tbl_Ventas 1].[Subcategoría]" caption="Subcategoría" attribute="1" defaultMemberUniqueName="[tbl_Ventas 1].[Subcategoría].[All]" allUniqueName="[tbl_Ventas 1].[Subcategoría].[All]" dimensionUniqueName="[tbl_Ventas 1]" displayFolder="" count="0" memberValueDatatype="130" unbalanced="0"/>
    <cacheHierarchy uniqueName="[tbl_Ventas 1].[Vendedor]" caption="Vendedor" attribute="1" defaultMemberUniqueName="[tbl_Ventas 1].[Vendedor].[All]" allUniqueName="[tbl_Ventas 1].[Vendedor].[All]" dimensionUniqueName="[tbl_Ventas 1]" displayFolder="" count="0" memberValueDatatype="130" unbalanced="0"/>
    <cacheHierarchy uniqueName="[tbl_Ventas 1].[Unidades]" caption="Unidades" attribute="1" defaultMemberUniqueName="[tbl_Ventas 1].[Unidades].[All]" allUniqueName="[tbl_Ventas 1].[Unidades].[All]" dimensionUniqueName="[tbl_Ventas 1]" displayFolder="" count="0" memberValueDatatype="20" unbalanced="0"/>
    <cacheHierarchy uniqueName="[tbl_Ventas 1].[Precio_Lista]" caption="Precio_Lista" attribute="1" defaultMemberUniqueName="[tbl_Ventas 1].[Precio_Lista].[All]" allUniqueName="[tbl_Ventas 1].[Precio_Lista].[All]" dimensionUniqueName="[tbl_Ventas 1]" displayFolder="" count="0" memberValueDatatype="20" unbalanced="0"/>
    <cacheHierarchy uniqueName="[tbl_Ventas 1].[Descuento_%]" caption="Descuento_%" attribute="1" defaultMemberUniqueName="[tbl_Ventas 1].[Descuento_%].[All]" allUniqueName="[tbl_Ventas 1].[Descuento_%].[All]" dimensionUniqueName="[tbl_Ventas 1]" displayFolder="" count="0" memberValueDatatype="5" unbalanced="0"/>
    <cacheHierarchy uniqueName="[tbl_Ventas 1].[Costo_Unitario]" caption="Costo_Unitario" attribute="1" defaultMemberUniqueName="[tbl_Ventas 1].[Costo_Unitario].[All]" allUniqueName="[tbl_Ventas 1].[Costo_Unitario].[All]" dimensionUniqueName="[tbl_Ventas 1]" displayFolder="" count="0" memberValueDatatype="5" unbalanced="0"/>
    <cacheHierarchy uniqueName="[tbl_Ventas 1].[Ventas_Brutas]" caption="Ventas_Brutas" attribute="1" defaultMemberUniqueName="[tbl_Ventas 1].[Ventas_Brutas].[All]" allUniqueName="[tbl_Ventas 1].[Ventas_Brutas].[All]" dimensionUniqueName="[tbl_Ventas 1]" displayFolder="" count="0" memberValueDatatype="20" unbalanced="0"/>
    <cacheHierarchy uniqueName="[tbl_Ventas 1].[Ventas_Netas]" caption="Ventas_Netas" attribute="1" defaultMemberUniqueName="[tbl_Ventas 1].[Ventas_Netas].[All]" allUniqueName="[tbl_Ventas 1].[Ventas_Netas].[All]" dimensionUniqueName="[tbl_Ventas 1]" displayFolder="" count="0" memberValueDatatype="5" unbalanced="0"/>
    <cacheHierarchy uniqueName="[tbl_Ventas 1].[Margen]" caption="Margen" attribute="1" defaultMemberUniqueName="[tbl_Ventas 1].[Margen].[All]" allUniqueName="[tbl_Ventas 1].[Margen].[All]" dimensionUniqueName="[tbl_Ventas 1]" displayFolder="" count="0" memberValueDatatype="5" unbalanced="0"/>
    <cacheHierarchy uniqueName="[tbl_Ventas 1].[Estado_Pedido]" caption="Estado_Pedido" attribute="1" defaultMemberUniqueName="[tbl_Ventas 1].[Estado_Pedido].[All]" allUniqueName="[tbl_Ventas 1].[Estado_Pedido].[All]" dimensionUniqueName="[tbl_Ventas 1]" displayFolder="" count="0" memberValueDatatype="130" unbalanced="0"/>
    <cacheHierarchy uniqueName="[Measures].[Ventas Totales]" caption="Ventas Totales" measure="1" displayFolder="" measureGroup="tbl_Ventas" count="0"/>
    <cacheHierarchy uniqueName="[Measures].[Margen Total]" caption="Margen Total" measure="1" displayFolder="" measureGroup="tbl_Ventas" count="0" oneField="1">
      <fieldsUsage count="1">
        <fieldUsage x="3"/>
      </fieldsUsage>
    </cacheHierarchy>
    <cacheHierarchy uniqueName="[Measures].[Porcentaje]" caption="Porcentaje" measure="1" displayFolder="" measureGroup="tbl_Ventas" count="0"/>
    <cacheHierarchy uniqueName="[Measures].[Unidades Vendidas]" caption="Unidades Vendidas" measure="1" displayFolder="" measureGroup="tbl_Ventas" count="0"/>
    <cacheHierarchy uniqueName="[Measures].[__XL_Count tbl_Ventas]" caption="__XL_Count tbl_Ventas" measure="1" displayFolder="" measureGroup="tbl_Ventas" count="0" hidden="1"/>
    <cacheHierarchy uniqueName="[Measures].[__XL_Count tbl_Ventas 1]" caption="__XL_Count tbl_Ventas 1" measure="1" displayFolder="" measureGroup="tbl_Ventas 1" count="0" hidden="1"/>
    <cacheHierarchy uniqueName="[Measures].[__No measures defined]" caption="__No measures defined" measure="1" displayFolder="" count="0" hidden="1"/>
    <cacheHierarchy uniqueName="[Measures].[Suma de Ventas_Netas]" caption="Suma de Ventas_Netas" measure="1" displayFolder="" measureGroup="tbl_Ventas 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Ventas_Netas 2]" caption="Suma de Ventas_Netas 2" measure="1" displayFolder="" measureGroup="tbl_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Margen]" caption="Suma de Margen" measure="1" displayFolder="" measureGroup="tbl_V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Ventas_Brutas]" caption="Suma de Ventas_Brutas" measure="1" displayFolder="" measureGroup="tbl_Vent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argen 2]" caption="Suma de Margen 2" measure="1" displayFolder="" measureGroup="tbl_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3">
    <dimension measure="1" name="Measures" uniqueName="[Measures]" caption="Measures"/>
    <dimension name="tbl_Ventas" uniqueName="[tbl_Ventas]" caption="tbl_Ventas"/>
    <dimension name="tbl_Ventas 1" uniqueName="[tbl_Ventas 1]" caption="tbl_Ventas 1"/>
  </dimensions>
  <measureGroups count="2">
    <measureGroup name="tbl_Ventas" caption="tbl_Ventas"/>
    <measureGroup name="tbl_Ventas 1" caption="tbl_Ventas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6253.051171180552" backgroundQuery="1" createdVersion="8" refreshedVersion="8" minRefreshableVersion="3" recordCount="0" supportSubquery="1" supportAdvancedDrill="1" xr:uid="{4960500C-E076-4E16-A648-709B035EBAA8}">
  <cacheSource type="external" connectionId="2"/>
  <cacheFields count="4">
    <cacheField name="[Measures].[Ventas Totales]" caption="Ventas Totales" numFmtId="0" hierarchy="38" level="32767"/>
    <cacheField name="[Measures].[Margen Total]" caption="Margen Total" numFmtId="0" hierarchy="39" level="32767"/>
    <cacheField name="[Measures].[Porcentaje]" caption="Porcentaje" numFmtId="0" hierarchy="40" level="32767"/>
    <cacheField name="[tbl_Ventas].[Región].[Región]" caption="Región" numFmtId="0" hierarchy="4" level="1">
      <sharedItems containsSemiMixedTypes="0" containsNonDate="0" containsString="0"/>
    </cacheField>
  </cacheFields>
  <cacheHierarchies count="50">
    <cacheHierarchy uniqueName="[tbl_Ventas].[Fecha]" caption="Fecha" attribute="1" time="1" defaultMemberUniqueName="[tbl_Ventas].[Fecha].[All]" allUniqueName="[tbl_Ventas].[Fecha].[All]" dimensionUniqueName="[tbl_Ventas]" displayFolder="" count="0" memberValueDatatype="7" unbalanced="0"/>
    <cacheHierarchy uniqueName="[tbl_Ventas].[Año]" caption="Año" attribute="1" defaultMemberUniqueName="[tbl_Ventas].[Año].[All]" allUniqueName="[tbl_Ventas].[Año].[All]" dimensionUniqueName="[tbl_Ventas]" displayFolder="" count="0" memberValueDatatype="20" unbalanced="0"/>
    <cacheHierarchy uniqueName="[tbl_Ventas].[Mes]" caption="Mes" attribute="1" defaultMemberUniqueName="[tbl_Ventas].[Mes].[All]" allUniqueName="[tbl_Ventas].[Mes].[All]" dimensionUniqueName="[tbl_Ventas]" displayFolder="" count="0" memberValueDatatype="130" unbalanced="0"/>
    <cacheHierarchy uniqueName="[tbl_Ventas].[Trimestre]" caption="Trimestre" attribute="1" defaultMemberUniqueName="[tbl_Ventas].[Trimestre].[All]" allUniqueName="[tbl_Ventas].[Trimestre].[All]" dimensionUniqueName="[tbl_Ventas]" displayFolder="" count="0" memberValueDatatype="130" unbalanced="0"/>
    <cacheHierarchy uniqueName="[tbl_Ventas].[Región]" caption="Región" attribute="1" defaultMemberUniqueName="[tbl_Ventas].[Región].[All]" allUniqueName="[tbl_Ventas].[Región].[All]" dimensionUniqueName="[tbl_Ventas]" displayFolder="" count="2" memberValueDatatype="130" unbalanced="0">
      <fieldsUsage count="2">
        <fieldUsage x="-1"/>
        <fieldUsage x="3"/>
      </fieldsUsage>
    </cacheHierarchy>
    <cacheHierarchy uniqueName="[tbl_Ventas].[Canal]" caption="Canal" attribute="1" defaultMemberUniqueName="[tbl_Ventas].[Canal].[All]" allUniqueName="[tbl_Ventas].[Canal].[All]" dimensionUniqueName="[tbl_Ventas]" displayFolder="" count="2" memberValueDatatype="130" unbalanced="0"/>
    <cacheHierarchy uniqueName="[tbl_Ventas].[Cliente]" caption="Cliente" attribute="1" defaultMemberUniqueName="[tbl_Ventas].[Cliente].[All]" allUniqueName="[tbl_Ventas].[Cliente].[All]" dimensionUniqueName="[tbl_Ventas]" displayFolder="" count="0" memberValueDatatype="130" unbalanced="0"/>
    <cacheHierarchy uniqueName="[tbl_Ventas].[Producto]" caption="Producto" attribute="1" defaultMemberUniqueName="[tbl_Ventas].[Producto].[All]" allUniqueName="[tbl_Ventas].[Producto].[All]" dimensionUniqueName="[tbl_Ventas]" displayFolder="" count="0" memberValueDatatype="130" unbalanced="0"/>
    <cacheHierarchy uniqueName="[tbl_Ventas].[Categoría]" caption="Categoría" attribute="1" defaultMemberUniqueName="[tbl_Ventas].[Categoría].[All]" allUniqueName="[tbl_Ventas].[Categoría].[All]" dimensionUniqueName="[tbl_Ventas]" displayFolder="" count="2" memberValueDatatype="130" unbalanced="0"/>
    <cacheHierarchy uniqueName="[tbl_Ventas].[Subcategoría]" caption="Subcategoría" attribute="1" defaultMemberUniqueName="[tbl_Ventas].[Subcategoría].[All]" allUniqueName="[tbl_Ventas].[Subcategoría].[All]" dimensionUniqueName="[tbl_Ventas]" displayFolder="" count="0" memberValueDatatype="130" unbalanced="0"/>
    <cacheHierarchy uniqueName="[tbl_Ventas].[Vendedor]" caption="Vendedor" attribute="1" defaultMemberUniqueName="[tbl_Ventas].[Vendedor].[All]" allUniqueName="[tbl_Ventas].[Vendedor].[All]" dimensionUniqueName="[tbl_Ventas]" displayFolder="" count="0" memberValueDatatype="130" unbalanced="0"/>
    <cacheHierarchy uniqueName="[tbl_Ventas].[Unidades]" caption="Unidades" attribute="1" defaultMemberUniqueName="[tbl_Ventas].[Unidades].[All]" allUniqueName="[tbl_Ventas].[Unidades].[All]" dimensionUniqueName="[tbl_Ventas]" displayFolder="" count="0" memberValueDatatype="20" unbalanced="0"/>
    <cacheHierarchy uniqueName="[tbl_Ventas].[Precio_Lista]" caption="Precio_Lista" attribute="1" defaultMemberUniqueName="[tbl_Ventas].[Precio_Lista].[All]" allUniqueName="[tbl_Ventas].[Precio_Lista].[All]" dimensionUniqueName="[tbl_Ventas]" displayFolder="" count="0" memberValueDatatype="20" unbalanced="0"/>
    <cacheHierarchy uniqueName="[tbl_Ventas].[Descuento_%]" caption="Descuento_%" attribute="1" defaultMemberUniqueName="[tbl_Ventas].[Descuento_%].[All]" allUniqueName="[tbl_Ventas].[Descuento_%].[All]" dimensionUniqueName="[tbl_Ventas]" displayFolder="" count="0" memberValueDatatype="5" unbalanced="0"/>
    <cacheHierarchy uniqueName="[tbl_Ventas].[Costo_Unitario]" caption="Costo_Unitario" attribute="1" defaultMemberUniqueName="[tbl_Ventas].[Costo_Unitario].[All]" allUniqueName="[tbl_Ventas].[Costo_Unitario].[All]" dimensionUniqueName="[tbl_Ventas]" displayFolder="" count="0" memberValueDatatype="5" unbalanced="0"/>
    <cacheHierarchy uniqueName="[tbl_Ventas].[Ventas_Brutas]" caption="Ventas_Brutas" attribute="1" defaultMemberUniqueName="[tbl_Ventas].[Ventas_Brutas].[All]" allUniqueName="[tbl_Ventas].[Ventas_Brutas].[All]" dimensionUniqueName="[tbl_Ventas]" displayFolder="" count="0" memberValueDatatype="20" unbalanced="0"/>
    <cacheHierarchy uniqueName="[tbl_Ventas].[Ventas_Netas]" caption="Ventas_Netas" attribute="1" defaultMemberUniqueName="[tbl_Ventas].[Ventas_Netas].[All]" allUniqueName="[tbl_Ventas].[Ventas_Netas].[All]" dimensionUniqueName="[tbl_Ventas]" displayFolder="" count="0" memberValueDatatype="5" unbalanced="0"/>
    <cacheHierarchy uniqueName="[tbl_Ventas].[Margen]" caption="Margen" attribute="1" defaultMemberUniqueName="[tbl_Ventas].[Margen].[All]" allUniqueName="[tbl_Ventas].[Margen].[All]" dimensionUniqueName="[tbl_Ventas]" displayFolder="" count="0" memberValueDatatype="5" unbalanced="0"/>
    <cacheHierarchy uniqueName="[tbl_Ventas].[Estado_Pedido]" caption="Estado_Pedido" attribute="1" defaultMemberUniqueName="[tbl_Ventas].[Estado_Pedido].[All]" allUniqueName="[tbl_Ventas].[Estado_Pedido].[All]" dimensionUniqueName="[tbl_Ventas]" displayFolder="" count="0" memberValueDatatype="130" unbalanced="0"/>
    <cacheHierarchy uniqueName="[tbl_Ventas 1].[Fecha]" caption="Fecha" attribute="1" time="1" defaultMemberUniqueName="[tbl_Ventas 1].[Fecha].[All]" allUniqueName="[tbl_Ventas 1].[Fecha].[All]" dimensionUniqueName="[tbl_Ventas 1]" displayFolder="" count="0" memberValueDatatype="7" unbalanced="0"/>
    <cacheHierarchy uniqueName="[tbl_Ventas 1].[Año]" caption="Año" attribute="1" defaultMemberUniqueName="[tbl_Ventas 1].[Año].[All]" allUniqueName="[tbl_Ventas 1].[Año].[All]" dimensionUniqueName="[tbl_Ventas 1]" displayFolder="" count="0" memberValueDatatype="20" unbalanced="0"/>
    <cacheHierarchy uniqueName="[tbl_Ventas 1].[Mes]" caption="Mes" attribute="1" defaultMemberUniqueName="[tbl_Ventas 1].[Mes].[All]" allUniqueName="[tbl_Ventas 1].[Mes].[All]" dimensionUniqueName="[tbl_Ventas 1]" displayFolder="" count="0" memberValueDatatype="130" unbalanced="0"/>
    <cacheHierarchy uniqueName="[tbl_Ventas 1].[Trimestre]" caption="Trimestre" attribute="1" defaultMemberUniqueName="[tbl_Ventas 1].[Trimestre].[All]" allUniqueName="[tbl_Ventas 1].[Trimestre].[All]" dimensionUniqueName="[tbl_Ventas 1]" displayFolder="" count="0" memberValueDatatype="130" unbalanced="0"/>
    <cacheHierarchy uniqueName="[tbl_Ventas 1].[Región]" caption="Región" attribute="1" defaultMemberUniqueName="[tbl_Ventas 1].[Región].[All]" allUniqueName="[tbl_Ventas 1].[Región].[All]" dimensionUniqueName="[tbl_Ventas 1]" displayFolder="" count="0" memberValueDatatype="130" unbalanced="0"/>
    <cacheHierarchy uniqueName="[tbl_Ventas 1].[Canal]" caption="Canal" attribute="1" defaultMemberUniqueName="[tbl_Ventas 1].[Canal].[All]" allUniqueName="[tbl_Ventas 1].[Canal].[All]" dimensionUniqueName="[tbl_Ventas 1]" displayFolder="" count="0" memberValueDatatype="130" unbalanced="0"/>
    <cacheHierarchy uniqueName="[tbl_Ventas 1].[Cliente]" caption="Cliente" attribute="1" defaultMemberUniqueName="[tbl_Ventas 1].[Cliente].[All]" allUniqueName="[tbl_Ventas 1].[Cliente].[All]" dimensionUniqueName="[tbl_Ventas 1]" displayFolder="" count="0" memberValueDatatype="130" unbalanced="0"/>
    <cacheHierarchy uniqueName="[tbl_Ventas 1].[Producto]" caption="Producto" attribute="1" defaultMemberUniqueName="[tbl_Ventas 1].[Producto].[All]" allUniqueName="[tbl_Ventas 1].[Producto].[All]" dimensionUniqueName="[tbl_Ventas 1]" displayFolder="" count="0" memberValueDatatype="130" unbalanced="0"/>
    <cacheHierarchy uniqueName="[tbl_Ventas 1].[Categoría]" caption="Categoría" attribute="1" defaultMemberUniqueName="[tbl_Ventas 1].[Categoría].[All]" allUniqueName="[tbl_Ventas 1].[Categoría].[All]" dimensionUniqueName="[tbl_Ventas 1]" displayFolder="" count="0" memberValueDatatype="130" unbalanced="0"/>
    <cacheHierarchy uniqueName="[tbl_Ventas 1].[Subcategoría]" caption="Subcategoría" attribute="1" defaultMemberUniqueName="[tbl_Ventas 1].[Subcategoría].[All]" allUniqueName="[tbl_Ventas 1].[Subcategoría].[All]" dimensionUniqueName="[tbl_Ventas 1]" displayFolder="" count="0" memberValueDatatype="130" unbalanced="0"/>
    <cacheHierarchy uniqueName="[tbl_Ventas 1].[Vendedor]" caption="Vendedor" attribute="1" defaultMemberUniqueName="[tbl_Ventas 1].[Vendedor].[All]" allUniqueName="[tbl_Ventas 1].[Vendedor].[All]" dimensionUniqueName="[tbl_Ventas 1]" displayFolder="" count="0" memberValueDatatype="130" unbalanced="0"/>
    <cacheHierarchy uniqueName="[tbl_Ventas 1].[Unidades]" caption="Unidades" attribute="1" defaultMemberUniqueName="[tbl_Ventas 1].[Unidades].[All]" allUniqueName="[tbl_Ventas 1].[Unidades].[All]" dimensionUniqueName="[tbl_Ventas 1]" displayFolder="" count="0" memberValueDatatype="20" unbalanced="0"/>
    <cacheHierarchy uniqueName="[tbl_Ventas 1].[Precio_Lista]" caption="Precio_Lista" attribute="1" defaultMemberUniqueName="[tbl_Ventas 1].[Precio_Lista].[All]" allUniqueName="[tbl_Ventas 1].[Precio_Lista].[All]" dimensionUniqueName="[tbl_Ventas 1]" displayFolder="" count="0" memberValueDatatype="20" unbalanced="0"/>
    <cacheHierarchy uniqueName="[tbl_Ventas 1].[Descuento_%]" caption="Descuento_%" attribute="1" defaultMemberUniqueName="[tbl_Ventas 1].[Descuento_%].[All]" allUniqueName="[tbl_Ventas 1].[Descuento_%].[All]" dimensionUniqueName="[tbl_Ventas 1]" displayFolder="" count="0" memberValueDatatype="5" unbalanced="0"/>
    <cacheHierarchy uniqueName="[tbl_Ventas 1].[Costo_Unitario]" caption="Costo_Unitario" attribute="1" defaultMemberUniqueName="[tbl_Ventas 1].[Costo_Unitario].[All]" allUniqueName="[tbl_Ventas 1].[Costo_Unitario].[All]" dimensionUniqueName="[tbl_Ventas 1]" displayFolder="" count="0" memberValueDatatype="5" unbalanced="0"/>
    <cacheHierarchy uniqueName="[tbl_Ventas 1].[Ventas_Brutas]" caption="Ventas_Brutas" attribute="1" defaultMemberUniqueName="[tbl_Ventas 1].[Ventas_Brutas].[All]" allUniqueName="[tbl_Ventas 1].[Ventas_Brutas].[All]" dimensionUniqueName="[tbl_Ventas 1]" displayFolder="" count="0" memberValueDatatype="20" unbalanced="0"/>
    <cacheHierarchy uniqueName="[tbl_Ventas 1].[Ventas_Netas]" caption="Ventas_Netas" attribute="1" defaultMemberUniqueName="[tbl_Ventas 1].[Ventas_Netas].[All]" allUniqueName="[tbl_Ventas 1].[Ventas_Netas].[All]" dimensionUniqueName="[tbl_Ventas 1]" displayFolder="" count="0" memberValueDatatype="5" unbalanced="0"/>
    <cacheHierarchy uniqueName="[tbl_Ventas 1].[Margen]" caption="Margen" attribute="1" defaultMemberUniqueName="[tbl_Ventas 1].[Margen].[All]" allUniqueName="[tbl_Ventas 1].[Margen].[All]" dimensionUniqueName="[tbl_Ventas 1]" displayFolder="" count="0" memberValueDatatype="5" unbalanced="0"/>
    <cacheHierarchy uniqueName="[tbl_Ventas 1].[Estado_Pedido]" caption="Estado_Pedido" attribute="1" defaultMemberUniqueName="[tbl_Ventas 1].[Estado_Pedido].[All]" allUniqueName="[tbl_Ventas 1].[Estado_Pedido].[All]" dimensionUniqueName="[tbl_Ventas 1]" displayFolder="" count="0" memberValueDatatype="130" unbalanced="0"/>
    <cacheHierarchy uniqueName="[Measures].[Ventas Totales]" caption="Ventas Totales" measure="1" displayFolder="" measureGroup="tbl_Ventas" count="0" oneField="1">
      <fieldsUsage count="1">
        <fieldUsage x="0"/>
      </fieldsUsage>
    </cacheHierarchy>
    <cacheHierarchy uniqueName="[Measures].[Margen Total]" caption="Margen Total" measure="1" displayFolder="" measureGroup="tbl_Ventas" count="0" oneField="1">
      <fieldsUsage count="1">
        <fieldUsage x="1"/>
      </fieldsUsage>
    </cacheHierarchy>
    <cacheHierarchy uniqueName="[Measures].[Porcentaje]" caption="Porcentaje" measure="1" displayFolder="" measureGroup="tbl_Ventas" count="0" oneField="1">
      <fieldsUsage count="1">
        <fieldUsage x="2"/>
      </fieldsUsage>
    </cacheHierarchy>
    <cacheHierarchy uniqueName="[Measures].[Unidades Vendidas]" caption="Unidades Vendidas" measure="1" displayFolder="" measureGroup="tbl_Ventas" count="0"/>
    <cacheHierarchy uniqueName="[Measures].[__XL_Count tbl_Ventas]" caption="__XL_Count tbl_Ventas" measure="1" displayFolder="" measureGroup="tbl_Ventas" count="0" hidden="1"/>
    <cacheHierarchy uniqueName="[Measures].[__XL_Count tbl_Ventas 1]" caption="__XL_Count tbl_Ventas 1" measure="1" displayFolder="" measureGroup="tbl_Ventas 1" count="0" hidden="1"/>
    <cacheHierarchy uniqueName="[Measures].[__No measures defined]" caption="__No measures defined" measure="1" displayFolder="" count="0" hidden="1"/>
    <cacheHierarchy uniqueName="[Measures].[Suma de Ventas_Netas]" caption="Suma de Ventas_Netas" measure="1" displayFolder="" measureGroup="tbl_Ventas 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Ventas_Netas 2]" caption="Suma de Ventas_Netas 2" measure="1" displayFolder="" measureGroup="tbl_Vent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Margen]" caption="Suma de Margen" measure="1" displayFolder="" measureGroup="tbl_V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Ventas_Brutas]" caption="Suma de Ventas_Brutas" measure="1" displayFolder="" measureGroup="tbl_Vent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argen 2]" caption="Suma de Margen 2" measure="1" displayFolder="" measureGroup="tbl_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3">
    <dimension measure="1" name="Measures" uniqueName="[Measures]" caption="Measures"/>
    <dimension name="tbl_Ventas" uniqueName="[tbl_Ventas]" caption="tbl_Ventas"/>
    <dimension name="tbl_Ventas 1" uniqueName="[tbl_Ventas 1]" caption="tbl_Ventas 1"/>
  </dimensions>
  <measureGroups count="2">
    <measureGroup name="tbl_Ventas" caption="tbl_Ventas"/>
    <measureGroup name="tbl_Ventas 1" caption="tbl_Ventas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6253.051171527775" backgroundQuery="1" createdVersion="8" refreshedVersion="8" minRefreshableVersion="3" recordCount="0" supportSubquery="1" supportAdvancedDrill="1" xr:uid="{4D3185FA-B0AD-4F94-AC89-2491B3C79999}">
  <cacheSource type="external" connectionId="2"/>
  <cacheFields count="4">
    <cacheField name="[tbl_Ventas].[Canal].[Canal]" caption="Canal" numFmtId="0" hierarchy="5" level="1">
      <sharedItems count="6">
        <s v="Distribuidor"/>
        <s v="E-Commerce"/>
        <s v="Marketplace"/>
        <s v="Mayorista"/>
        <s v="Online"/>
        <s v="Retail"/>
      </sharedItems>
    </cacheField>
    <cacheField name="[tbl_Ventas].[Mes].[Mes]" caption="Mes" numFmtId="0" hierarchy="2" level="1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[Measures].[Suma de Ventas_Netas 2]" caption="Suma de Ventas_Netas 2" numFmtId="0" hierarchy="46" level="32767"/>
    <cacheField name="[tbl_Ventas].[Región].[Región]" caption="Región" numFmtId="0" hierarchy="4" level="1">
      <sharedItems containsSemiMixedTypes="0" containsNonDate="0" containsString="0"/>
    </cacheField>
  </cacheFields>
  <cacheHierarchies count="50">
    <cacheHierarchy uniqueName="[tbl_Ventas].[Fecha]" caption="Fecha" attribute="1" time="1" defaultMemberUniqueName="[tbl_Ventas].[Fecha].[All]" allUniqueName="[tbl_Ventas].[Fecha].[All]" dimensionUniqueName="[tbl_Ventas]" displayFolder="" count="0" memberValueDatatype="7" unbalanced="0"/>
    <cacheHierarchy uniqueName="[tbl_Ventas].[Año]" caption="Año" attribute="1" defaultMemberUniqueName="[tbl_Ventas].[Año].[All]" allUniqueName="[tbl_Ventas].[Año].[All]" dimensionUniqueName="[tbl_Ventas]" displayFolder="" count="0" memberValueDatatype="20" unbalanced="0"/>
    <cacheHierarchy uniqueName="[tbl_Ventas].[Mes]" caption="Mes" attribute="1" defaultMemberUniqueName="[tbl_Ventas].[Mes].[All]" allUniqueName="[tbl_Ventas].[Mes].[All]" dimensionUniqueName="[tbl_Ventas]" displayFolder="" count="2" memberValueDatatype="130" unbalanced="0">
      <fieldsUsage count="2">
        <fieldUsage x="-1"/>
        <fieldUsage x="1"/>
      </fieldsUsage>
    </cacheHierarchy>
    <cacheHierarchy uniqueName="[tbl_Ventas].[Trimestre]" caption="Trimestre" attribute="1" defaultMemberUniqueName="[tbl_Ventas].[Trimestre].[All]" allUniqueName="[tbl_Ventas].[Trimestre].[All]" dimensionUniqueName="[tbl_Ventas]" displayFolder="" count="0" memberValueDatatype="130" unbalanced="0"/>
    <cacheHierarchy uniqueName="[tbl_Ventas].[Región]" caption="Región" attribute="1" defaultMemberUniqueName="[tbl_Ventas].[Región].[All]" allUniqueName="[tbl_Ventas].[Región].[All]" dimensionUniqueName="[tbl_Ventas]" displayFolder="" count="2" memberValueDatatype="130" unbalanced="0">
      <fieldsUsage count="2">
        <fieldUsage x="-1"/>
        <fieldUsage x="3"/>
      </fieldsUsage>
    </cacheHierarchy>
    <cacheHierarchy uniqueName="[tbl_Ventas].[Canal]" caption="Canal" attribute="1" defaultMemberUniqueName="[tbl_Ventas].[Canal].[All]" allUniqueName="[tbl_Ventas].[Canal].[All]" dimensionUniqueName="[tbl_Ventas]" displayFolder="" count="2" memberValueDatatype="130" unbalanced="0">
      <fieldsUsage count="2">
        <fieldUsage x="-1"/>
        <fieldUsage x="0"/>
      </fieldsUsage>
    </cacheHierarchy>
    <cacheHierarchy uniqueName="[tbl_Ventas].[Cliente]" caption="Cliente" attribute="1" defaultMemberUniqueName="[tbl_Ventas].[Cliente].[All]" allUniqueName="[tbl_Ventas].[Cliente].[All]" dimensionUniqueName="[tbl_Ventas]" displayFolder="" count="0" memberValueDatatype="130" unbalanced="0"/>
    <cacheHierarchy uniqueName="[tbl_Ventas].[Producto]" caption="Producto" attribute="1" defaultMemberUniqueName="[tbl_Ventas].[Producto].[All]" allUniqueName="[tbl_Ventas].[Producto].[All]" dimensionUniqueName="[tbl_Ventas]" displayFolder="" count="0" memberValueDatatype="130" unbalanced="0"/>
    <cacheHierarchy uniqueName="[tbl_Ventas].[Categoría]" caption="Categoría" attribute="1" defaultMemberUniqueName="[tbl_Ventas].[Categoría].[All]" allUniqueName="[tbl_Ventas].[Categoría].[All]" dimensionUniqueName="[tbl_Ventas]" displayFolder="" count="2" memberValueDatatype="130" unbalanced="0"/>
    <cacheHierarchy uniqueName="[tbl_Ventas].[Subcategoría]" caption="Subcategoría" attribute="1" defaultMemberUniqueName="[tbl_Ventas].[Subcategoría].[All]" allUniqueName="[tbl_Ventas].[Subcategoría].[All]" dimensionUniqueName="[tbl_Ventas]" displayFolder="" count="0" memberValueDatatype="130" unbalanced="0"/>
    <cacheHierarchy uniqueName="[tbl_Ventas].[Vendedor]" caption="Vendedor" attribute="1" defaultMemberUniqueName="[tbl_Ventas].[Vendedor].[All]" allUniqueName="[tbl_Ventas].[Vendedor].[All]" dimensionUniqueName="[tbl_Ventas]" displayFolder="" count="0" memberValueDatatype="130" unbalanced="0"/>
    <cacheHierarchy uniqueName="[tbl_Ventas].[Unidades]" caption="Unidades" attribute="1" defaultMemberUniqueName="[tbl_Ventas].[Unidades].[All]" allUniqueName="[tbl_Ventas].[Unidades].[All]" dimensionUniqueName="[tbl_Ventas]" displayFolder="" count="0" memberValueDatatype="20" unbalanced="0"/>
    <cacheHierarchy uniqueName="[tbl_Ventas].[Precio_Lista]" caption="Precio_Lista" attribute="1" defaultMemberUniqueName="[tbl_Ventas].[Precio_Lista].[All]" allUniqueName="[tbl_Ventas].[Precio_Lista].[All]" dimensionUniqueName="[tbl_Ventas]" displayFolder="" count="0" memberValueDatatype="20" unbalanced="0"/>
    <cacheHierarchy uniqueName="[tbl_Ventas].[Descuento_%]" caption="Descuento_%" attribute="1" defaultMemberUniqueName="[tbl_Ventas].[Descuento_%].[All]" allUniqueName="[tbl_Ventas].[Descuento_%].[All]" dimensionUniqueName="[tbl_Ventas]" displayFolder="" count="0" memberValueDatatype="5" unbalanced="0"/>
    <cacheHierarchy uniqueName="[tbl_Ventas].[Costo_Unitario]" caption="Costo_Unitario" attribute="1" defaultMemberUniqueName="[tbl_Ventas].[Costo_Unitario].[All]" allUniqueName="[tbl_Ventas].[Costo_Unitario].[All]" dimensionUniqueName="[tbl_Ventas]" displayFolder="" count="0" memberValueDatatype="5" unbalanced="0"/>
    <cacheHierarchy uniqueName="[tbl_Ventas].[Ventas_Brutas]" caption="Ventas_Brutas" attribute="1" defaultMemberUniqueName="[tbl_Ventas].[Ventas_Brutas].[All]" allUniqueName="[tbl_Ventas].[Ventas_Brutas].[All]" dimensionUniqueName="[tbl_Ventas]" displayFolder="" count="0" memberValueDatatype="20" unbalanced="0"/>
    <cacheHierarchy uniqueName="[tbl_Ventas].[Ventas_Netas]" caption="Ventas_Netas" attribute="1" defaultMemberUniqueName="[tbl_Ventas].[Ventas_Netas].[All]" allUniqueName="[tbl_Ventas].[Ventas_Netas].[All]" dimensionUniqueName="[tbl_Ventas]" displayFolder="" count="0" memberValueDatatype="5" unbalanced="0"/>
    <cacheHierarchy uniqueName="[tbl_Ventas].[Margen]" caption="Margen" attribute="1" defaultMemberUniqueName="[tbl_Ventas].[Margen].[All]" allUniqueName="[tbl_Ventas].[Margen].[All]" dimensionUniqueName="[tbl_Ventas]" displayFolder="" count="0" memberValueDatatype="5" unbalanced="0"/>
    <cacheHierarchy uniqueName="[tbl_Ventas].[Estado_Pedido]" caption="Estado_Pedido" attribute="1" defaultMemberUniqueName="[tbl_Ventas].[Estado_Pedido].[All]" allUniqueName="[tbl_Ventas].[Estado_Pedido].[All]" dimensionUniqueName="[tbl_Ventas]" displayFolder="" count="0" memberValueDatatype="130" unbalanced="0"/>
    <cacheHierarchy uniqueName="[tbl_Ventas 1].[Fecha]" caption="Fecha" attribute="1" time="1" defaultMemberUniqueName="[tbl_Ventas 1].[Fecha].[All]" allUniqueName="[tbl_Ventas 1].[Fecha].[All]" dimensionUniqueName="[tbl_Ventas 1]" displayFolder="" count="0" memberValueDatatype="7" unbalanced="0"/>
    <cacheHierarchy uniqueName="[tbl_Ventas 1].[Año]" caption="Año" attribute="1" defaultMemberUniqueName="[tbl_Ventas 1].[Año].[All]" allUniqueName="[tbl_Ventas 1].[Año].[All]" dimensionUniqueName="[tbl_Ventas 1]" displayFolder="" count="0" memberValueDatatype="20" unbalanced="0"/>
    <cacheHierarchy uniqueName="[tbl_Ventas 1].[Mes]" caption="Mes" attribute="1" defaultMemberUniqueName="[tbl_Ventas 1].[Mes].[All]" allUniqueName="[tbl_Ventas 1].[Mes].[All]" dimensionUniqueName="[tbl_Ventas 1]" displayFolder="" count="0" memberValueDatatype="130" unbalanced="0"/>
    <cacheHierarchy uniqueName="[tbl_Ventas 1].[Trimestre]" caption="Trimestre" attribute="1" defaultMemberUniqueName="[tbl_Ventas 1].[Trimestre].[All]" allUniqueName="[tbl_Ventas 1].[Trimestre].[All]" dimensionUniqueName="[tbl_Ventas 1]" displayFolder="" count="0" memberValueDatatype="130" unbalanced="0"/>
    <cacheHierarchy uniqueName="[tbl_Ventas 1].[Región]" caption="Región" attribute="1" defaultMemberUniqueName="[tbl_Ventas 1].[Región].[All]" allUniqueName="[tbl_Ventas 1].[Región].[All]" dimensionUniqueName="[tbl_Ventas 1]" displayFolder="" count="0" memberValueDatatype="130" unbalanced="0"/>
    <cacheHierarchy uniqueName="[tbl_Ventas 1].[Canal]" caption="Canal" attribute="1" defaultMemberUniqueName="[tbl_Ventas 1].[Canal].[All]" allUniqueName="[tbl_Ventas 1].[Canal].[All]" dimensionUniqueName="[tbl_Ventas 1]" displayFolder="" count="0" memberValueDatatype="130" unbalanced="0"/>
    <cacheHierarchy uniqueName="[tbl_Ventas 1].[Cliente]" caption="Cliente" attribute="1" defaultMemberUniqueName="[tbl_Ventas 1].[Cliente].[All]" allUniqueName="[tbl_Ventas 1].[Cliente].[All]" dimensionUniqueName="[tbl_Ventas 1]" displayFolder="" count="0" memberValueDatatype="130" unbalanced="0"/>
    <cacheHierarchy uniqueName="[tbl_Ventas 1].[Producto]" caption="Producto" attribute="1" defaultMemberUniqueName="[tbl_Ventas 1].[Producto].[All]" allUniqueName="[tbl_Ventas 1].[Producto].[All]" dimensionUniqueName="[tbl_Ventas 1]" displayFolder="" count="0" memberValueDatatype="130" unbalanced="0"/>
    <cacheHierarchy uniqueName="[tbl_Ventas 1].[Categoría]" caption="Categoría" attribute="1" defaultMemberUniqueName="[tbl_Ventas 1].[Categoría].[All]" allUniqueName="[tbl_Ventas 1].[Categoría].[All]" dimensionUniqueName="[tbl_Ventas 1]" displayFolder="" count="0" memberValueDatatype="130" unbalanced="0"/>
    <cacheHierarchy uniqueName="[tbl_Ventas 1].[Subcategoría]" caption="Subcategoría" attribute="1" defaultMemberUniqueName="[tbl_Ventas 1].[Subcategoría].[All]" allUniqueName="[tbl_Ventas 1].[Subcategoría].[All]" dimensionUniqueName="[tbl_Ventas 1]" displayFolder="" count="0" memberValueDatatype="130" unbalanced="0"/>
    <cacheHierarchy uniqueName="[tbl_Ventas 1].[Vendedor]" caption="Vendedor" attribute="1" defaultMemberUniqueName="[tbl_Ventas 1].[Vendedor].[All]" allUniqueName="[tbl_Ventas 1].[Vendedor].[All]" dimensionUniqueName="[tbl_Ventas 1]" displayFolder="" count="0" memberValueDatatype="130" unbalanced="0"/>
    <cacheHierarchy uniqueName="[tbl_Ventas 1].[Unidades]" caption="Unidades" attribute="1" defaultMemberUniqueName="[tbl_Ventas 1].[Unidades].[All]" allUniqueName="[tbl_Ventas 1].[Unidades].[All]" dimensionUniqueName="[tbl_Ventas 1]" displayFolder="" count="0" memberValueDatatype="20" unbalanced="0"/>
    <cacheHierarchy uniqueName="[tbl_Ventas 1].[Precio_Lista]" caption="Precio_Lista" attribute="1" defaultMemberUniqueName="[tbl_Ventas 1].[Precio_Lista].[All]" allUniqueName="[tbl_Ventas 1].[Precio_Lista].[All]" dimensionUniqueName="[tbl_Ventas 1]" displayFolder="" count="0" memberValueDatatype="20" unbalanced="0"/>
    <cacheHierarchy uniqueName="[tbl_Ventas 1].[Descuento_%]" caption="Descuento_%" attribute="1" defaultMemberUniqueName="[tbl_Ventas 1].[Descuento_%].[All]" allUniqueName="[tbl_Ventas 1].[Descuento_%].[All]" dimensionUniqueName="[tbl_Ventas 1]" displayFolder="" count="0" memberValueDatatype="5" unbalanced="0"/>
    <cacheHierarchy uniqueName="[tbl_Ventas 1].[Costo_Unitario]" caption="Costo_Unitario" attribute="1" defaultMemberUniqueName="[tbl_Ventas 1].[Costo_Unitario].[All]" allUniqueName="[tbl_Ventas 1].[Costo_Unitario].[All]" dimensionUniqueName="[tbl_Ventas 1]" displayFolder="" count="0" memberValueDatatype="5" unbalanced="0"/>
    <cacheHierarchy uniqueName="[tbl_Ventas 1].[Ventas_Brutas]" caption="Ventas_Brutas" attribute="1" defaultMemberUniqueName="[tbl_Ventas 1].[Ventas_Brutas].[All]" allUniqueName="[tbl_Ventas 1].[Ventas_Brutas].[All]" dimensionUniqueName="[tbl_Ventas 1]" displayFolder="" count="0" memberValueDatatype="20" unbalanced="0"/>
    <cacheHierarchy uniqueName="[tbl_Ventas 1].[Ventas_Netas]" caption="Ventas_Netas" attribute="1" defaultMemberUniqueName="[tbl_Ventas 1].[Ventas_Netas].[All]" allUniqueName="[tbl_Ventas 1].[Ventas_Netas].[All]" dimensionUniqueName="[tbl_Ventas 1]" displayFolder="" count="0" memberValueDatatype="5" unbalanced="0"/>
    <cacheHierarchy uniqueName="[tbl_Ventas 1].[Margen]" caption="Margen" attribute="1" defaultMemberUniqueName="[tbl_Ventas 1].[Margen].[All]" allUniqueName="[tbl_Ventas 1].[Margen].[All]" dimensionUniqueName="[tbl_Ventas 1]" displayFolder="" count="0" memberValueDatatype="5" unbalanced="0"/>
    <cacheHierarchy uniqueName="[tbl_Ventas 1].[Estado_Pedido]" caption="Estado_Pedido" attribute="1" defaultMemberUniqueName="[tbl_Ventas 1].[Estado_Pedido].[All]" allUniqueName="[tbl_Ventas 1].[Estado_Pedido].[All]" dimensionUniqueName="[tbl_Ventas 1]" displayFolder="" count="0" memberValueDatatype="130" unbalanced="0"/>
    <cacheHierarchy uniqueName="[Measures].[Ventas Totales]" caption="Ventas Totales" measure="1" displayFolder="" measureGroup="tbl_Ventas" count="0"/>
    <cacheHierarchy uniqueName="[Measures].[Margen Total]" caption="Margen Total" measure="1" displayFolder="" measureGroup="tbl_Ventas" count="0"/>
    <cacheHierarchy uniqueName="[Measures].[Porcentaje]" caption="Porcentaje" measure="1" displayFolder="" measureGroup="tbl_Ventas" count="0"/>
    <cacheHierarchy uniqueName="[Measures].[Unidades Vendidas]" caption="Unidades Vendidas" measure="1" displayFolder="" measureGroup="tbl_Ventas" count="0"/>
    <cacheHierarchy uniqueName="[Measures].[__XL_Count tbl_Ventas]" caption="__XL_Count tbl_Ventas" measure="1" displayFolder="" measureGroup="tbl_Ventas" count="0" hidden="1"/>
    <cacheHierarchy uniqueName="[Measures].[__XL_Count tbl_Ventas 1]" caption="__XL_Count tbl_Ventas 1" measure="1" displayFolder="" measureGroup="tbl_Ventas 1" count="0" hidden="1"/>
    <cacheHierarchy uniqueName="[Measures].[__No measures defined]" caption="__No measures defined" measure="1" displayFolder="" count="0" hidden="1"/>
    <cacheHierarchy uniqueName="[Measures].[Suma de Ventas_Netas]" caption="Suma de Ventas_Netas" measure="1" displayFolder="" measureGroup="tbl_Ventas 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Ventas_Netas 2]" caption="Suma de Ventas_Netas 2" measure="1" displayFolder="" measureGroup="tbl_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Margen]" caption="Suma de Margen" measure="1" displayFolder="" measureGroup="tbl_V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Ventas_Brutas]" caption="Suma de Ventas_Brutas" measure="1" displayFolder="" measureGroup="tbl_Vent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Margen 2]" caption="Suma de Margen 2" measure="1" displayFolder="" measureGroup="tbl_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3">
    <dimension measure="1" name="Measures" uniqueName="[Measures]" caption="Measures"/>
    <dimension name="tbl_Ventas" uniqueName="[tbl_Ventas]" caption="tbl_Ventas"/>
    <dimension name="tbl_Ventas 1" uniqueName="[tbl_Ventas 1]" caption="tbl_Ventas 1"/>
  </dimensions>
  <measureGroups count="2">
    <measureGroup name="tbl_Ventas" caption="tbl_Ventas"/>
    <measureGroup name="tbl_Ventas 1" caption="tbl_Ventas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6250.669370138887" backgroundQuery="1" createdVersion="3" refreshedVersion="8" minRefreshableVersion="3" recordCount="0" supportSubquery="1" supportAdvancedDrill="1" xr:uid="{BFC2AC27-97DF-493A-ACEC-0CF9388A433C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8">
    <cacheHierarchy uniqueName="[tbl_Ventas].[Fecha]" caption="Fecha" attribute="1" time="1" defaultMemberUniqueName="[tbl_Ventas].[Fecha].[All]" allUniqueName="[tbl_Ventas].[Fecha].[All]" dimensionUniqueName="[tbl_Ventas]" displayFolder="" count="0" memberValueDatatype="7" unbalanced="0"/>
    <cacheHierarchy uniqueName="[tbl_Ventas].[Año]" caption="Año" attribute="1" defaultMemberUniqueName="[tbl_Ventas].[Año].[All]" allUniqueName="[tbl_Ventas].[Año].[All]" dimensionUniqueName="[tbl_Ventas]" displayFolder="" count="0" memberValueDatatype="20" unbalanced="0"/>
    <cacheHierarchy uniqueName="[tbl_Ventas].[Mes]" caption="Mes" attribute="1" defaultMemberUniqueName="[tbl_Ventas].[Mes].[All]" allUniqueName="[tbl_Ventas].[Mes].[All]" dimensionUniqueName="[tbl_Ventas]" displayFolder="" count="0" memberValueDatatype="130" unbalanced="0"/>
    <cacheHierarchy uniqueName="[tbl_Ventas].[Trimestre]" caption="Trimestre" attribute="1" defaultMemberUniqueName="[tbl_Ventas].[Trimestre].[All]" allUniqueName="[tbl_Ventas].[Trimestre].[All]" dimensionUniqueName="[tbl_Ventas]" displayFolder="" count="0" memberValueDatatype="130" unbalanced="0"/>
    <cacheHierarchy uniqueName="[tbl_Ventas].[Región]" caption="Región" attribute="1" defaultMemberUniqueName="[tbl_Ventas].[Región].[All]" allUniqueName="[tbl_Ventas].[Región].[All]" dimensionUniqueName="[tbl_Ventas]" displayFolder="" count="2" memberValueDatatype="130" unbalanced="0"/>
    <cacheHierarchy uniqueName="[tbl_Ventas].[Canal]" caption="Canal" attribute="1" defaultMemberUniqueName="[tbl_Ventas].[Canal].[All]" allUniqueName="[tbl_Ventas].[Canal].[All]" dimensionUniqueName="[tbl_Ventas]" displayFolder="" count="2" memberValueDatatype="130" unbalanced="0"/>
    <cacheHierarchy uniqueName="[tbl_Ventas].[Cliente]" caption="Cliente" attribute="1" defaultMemberUniqueName="[tbl_Ventas].[Cliente].[All]" allUniqueName="[tbl_Ventas].[Cliente].[All]" dimensionUniqueName="[tbl_Ventas]" displayFolder="" count="0" memberValueDatatype="130" unbalanced="0"/>
    <cacheHierarchy uniqueName="[tbl_Ventas].[Producto]" caption="Producto" attribute="1" defaultMemberUniqueName="[tbl_Ventas].[Producto].[All]" allUniqueName="[tbl_Ventas].[Producto].[All]" dimensionUniqueName="[tbl_Ventas]" displayFolder="" count="0" memberValueDatatype="130" unbalanced="0"/>
    <cacheHierarchy uniqueName="[tbl_Ventas].[Categoría]" caption="Categoría" attribute="1" defaultMemberUniqueName="[tbl_Ventas].[Categoría].[All]" allUniqueName="[tbl_Ventas].[Categoría].[All]" dimensionUniqueName="[tbl_Ventas]" displayFolder="" count="2" memberValueDatatype="130" unbalanced="0"/>
    <cacheHierarchy uniqueName="[tbl_Ventas].[Subcategoría]" caption="Subcategoría" attribute="1" defaultMemberUniqueName="[tbl_Ventas].[Subcategoría].[All]" allUniqueName="[tbl_Ventas].[Subcategoría].[All]" dimensionUniqueName="[tbl_Ventas]" displayFolder="" count="0" memberValueDatatype="130" unbalanced="0"/>
    <cacheHierarchy uniqueName="[tbl_Ventas].[Vendedor]" caption="Vendedor" attribute="1" defaultMemberUniqueName="[tbl_Ventas].[Vendedor].[All]" allUniqueName="[tbl_Ventas].[Vendedor].[All]" dimensionUniqueName="[tbl_Ventas]" displayFolder="" count="0" memberValueDatatype="130" unbalanced="0"/>
    <cacheHierarchy uniqueName="[tbl_Ventas].[Unidades]" caption="Unidades" attribute="1" defaultMemberUniqueName="[tbl_Ventas].[Unidades].[All]" allUniqueName="[tbl_Ventas].[Unidades].[All]" dimensionUniqueName="[tbl_Ventas]" displayFolder="" count="0" memberValueDatatype="20" unbalanced="0"/>
    <cacheHierarchy uniqueName="[tbl_Ventas].[Precio_Lista]" caption="Precio_Lista" attribute="1" defaultMemberUniqueName="[tbl_Ventas].[Precio_Lista].[All]" allUniqueName="[tbl_Ventas].[Precio_Lista].[All]" dimensionUniqueName="[tbl_Ventas]" displayFolder="" count="0" memberValueDatatype="20" unbalanced="0"/>
    <cacheHierarchy uniqueName="[tbl_Ventas].[Descuento_%]" caption="Descuento_%" attribute="1" defaultMemberUniqueName="[tbl_Ventas].[Descuento_%].[All]" allUniqueName="[tbl_Ventas].[Descuento_%].[All]" dimensionUniqueName="[tbl_Ventas]" displayFolder="" count="0" memberValueDatatype="5" unbalanced="0"/>
    <cacheHierarchy uniqueName="[tbl_Ventas].[Costo_Unitario]" caption="Costo_Unitario" attribute="1" defaultMemberUniqueName="[tbl_Ventas].[Costo_Unitario].[All]" allUniqueName="[tbl_Ventas].[Costo_Unitario].[All]" dimensionUniqueName="[tbl_Ventas]" displayFolder="" count="0" memberValueDatatype="5" unbalanced="0"/>
    <cacheHierarchy uniqueName="[tbl_Ventas].[Ventas_Brutas]" caption="Ventas_Brutas" attribute="1" defaultMemberUniqueName="[tbl_Ventas].[Ventas_Brutas].[All]" allUniqueName="[tbl_Ventas].[Ventas_Brutas].[All]" dimensionUniqueName="[tbl_Ventas]" displayFolder="" count="0" memberValueDatatype="20" unbalanced="0"/>
    <cacheHierarchy uniqueName="[tbl_Ventas].[Ventas_Netas]" caption="Ventas_Netas" attribute="1" defaultMemberUniqueName="[tbl_Ventas].[Ventas_Netas].[All]" allUniqueName="[tbl_Ventas].[Ventas_Netas].[All]" dimensionUniqueName="[tbl_Ventas]" displayFolder="" count="0" memberValueDatatype="5" unbalanced="0"/>
    <cacheHierarchy uniqueName="[tbl_Ventas].[Margen]" caption="Margen" attribute="1" defaultMemberUniqueName="[tbl_Ventas].[Margen].[All]" allUniqueName="[tbl_Ventas].[Margen].[All]" dimensionUniqueName="[tbl_Ventas]" displayFolder="" count="0" memberValueDatatype="5" unbalanced="0"/>
    <cacheHierarchy uniqueName="[tbl_Ventas].[Estado_Pedido]" caption="Estado_Pedido" attribute="1" defaultMemberUniqueName="[tbl_Ventas].[Estado_Pedido].[All]" allUniqueName="[tbl_Ventas].[Estado_Pedido].[All]" dimensionUniqueName="[tbl_Ventas]" displayFolder="" count="0" memberValueDatatype="130" unbalanced="0"/>
    <cacheHierarchy uniqueName="[tbl_Ventas 1].[Fecha]" caption="Fecha" attribute="1" time="1" defaultMemberUniqueName="[tbl_Ventas 1].[Fecha].[All]" allUniqueName="[tbl_Ventas 1].[Fecha].[All]" dimensionUniqueName="[tbl_Ventas 1]" displayFolder="" count="0" memberValueDatatype="7" unbalanced="0"/>
    <cacheHierarchy uniqueName="[tbl_Ventas 1].[Año]" caption="Año" attribute="1" defaultMemberUniqueName="[tbl_Ventas 1].[Año].[All]" allUniqueName="[tbl_Ventas 1].[Año].[All]" dimensionUniqueName="[tbl_Ventas 1]" displayFolder="" count="0" memberValueDatatype="20" unbalanced="0"/>
    <cacheHierarchy uniqueName="[tbl_Ventas 1].[Mes]" caption="Mes" attribute="1" defaultMemberUniqueName="[tbl_Ventas 1].[Mes].[All]" allUniqueName="[tbl_Ventas 1].[Mes].[All]" dimensionUniqueName="[tbl_Ventas 1]" displayFolder="" count="0" memberValueDatatype="130" unbalanced="0"/>
    <cacheHierarchy uniqueName="[tbl_Ventas 1].[Trimestre]" caption="Trimestre" attribute="1" defaultMemberUniqueName="[tbl_Ventas 1].[Trimestre].[All]" allUniqueName="[tbl_Ventas 1].[Trimestre].[All]" dimensionUniqueName="[tbl_Ventas 1]" displayFolder="" count="0" memberValueDatatype="130" unbalanced="0"/>
    <cacheHierarchy uniqueName="[tbl_Ventas 1].[Región]" caption="Región" attribute="1" defaultMemberUniqueName="[tbl_Ventas 1].[Región].[All]" allUniqueName="[tbl_Ventas 1].[Región].[All]" dimensionUniqueName="[tbl_Ventas 1]" displayFolder="" count="0" memberValueDatatype="130" unbalanced="0"/>
    <cacheHierarchy uniqueName="[tbl_Ventas 1].[Canal]" caption="Canal" attribute="1" defaultMemberUniqueName="[tbl_Ventas 1].[Canal].[All]" allUniqueName="[tbl_Ventas 1].[Canal].[All]" dimensionUniqueName="[tbl_Ventas 1]" displayFolder="" count="0" memberValueDatatype="130" unbalanced="0"/>
    <cacheHierarchy uniqueName="[tbl_Ventas 1].[Cliente]" caption="Cliente" attribute="1" defaultMemberUniqueName="[tbl_Ventas 1].[Cliente].[All]" allUniqueName="[tbl_Ventas 1].[Cliente].[All]" dimensionUniqueName="[tbl_Ventas 1]" displayFolder="" count="0" memberValueDatatype="130" unbalanced="0"/>
    <cacheHierarchy uniqueName="[tbl_Ventas 1].[Producto]" caption="Producto" attribute="1" defaultMemberUniqueName="[tbl_Ventas 1].[Producto].[All]" allUniqueName="[tbl_Ventas 1].[Producto].[All]" dimensionUniqueName="[tbl_Ventas 1]" displayFolder="" count="0" memberValueDatatype="130" unbalanced="0"/>
    <cacheHierarchy uniqueName="[tbl_Ventas 1].[Categoría]" caption="Categoría" attribute="1" defaultMemberUniqueName="[tbl_Ventas 1].[Categoría].[All]" allUniqueName="[tbl_Ventas 1].[Categoría].[All]" dimensionUniqueName="[tbl_Ventas 1]" displayFolder="" count="0" memberValueDatatype="130" unbalanced="0"/>
    <cacheHierarchy uniqueName="[tbl_Ventas 1].[Subcategoría]" caption="Subcategoría" attribute="1" defaultMemberUniqueName="[tbl_Ventas 1].[Subcategoría].[All]" allUniqueName="[tbl_Ventas 1].[Subcategoría].[All]" dimensionUniqueName="[tbl_Ventas 1]" displayFolder="" count="0" memberValueDatatype="130" unbalanced="0"/>
    <cacheHierarchy uniqueName="[tbl_Ventas 1].[Vendedor]" caption="Vendedor" attribute="1" defaultMemberUniqueName="[tbl_Ventas 1].[Vendedor].[All]" allUniqueName="[tbl_Ventas 1].[Vendedor].[All]" dimensionUniqueName="[tbl_Ventas 1]" displayFolder="" count="0" memberValueDatatype="130" unbalanced="0"/>
    <cacheHierarchy uniqueName="[tbl_Ventas 1].[Unidades]" caption="Unidades" attribute="1" defaultMemberUniqueName="[tbl_Ventas 1].[Unidades].[All]" allUniqueName="[tbl_Ventas 1].[Unidades].[All]" dimensionUniqueName="[tbl_Ventas 1]" displayFolder="" count="0" memberValueDatatype="20" unbalanced="0"/>
    <cacheHierarchy uniqueName="[tbl_Ventas 1].[Precio_Lista]" caption="Precio_Lista" attribute="1" defaultMemberUniqueName="[tbl_Ventas 1].[Precio_Lista].[All]" allUniqueName="[tbl_Ventas 1].[Precio_Lista].[All]" dimensionUniqueName="[tbl_Ventas 1]" displayFolder="" count="0" memberValueDatatype="20" unbalanced="0"/>
    <cacheHierarchy uniqueName="[tbl_Ventas 1].[Descuento_%]" caption="Descuento_%" attribute="1" defaultMemberUniqueName="[tbl_Ventas 1].[Descuento_%].[All]" allUniqueName="[tbl_Ventas 1].[Descuento_%].[All]" dimensionUniqueName="[tbl_Ventas 1]" displayFolder="" count="0" memberValueDatatype="5" unbalanced="0"/>
    <cacheHierarchy uniqueName="[tbl_Ventas 1].[Costo_Unitario]" caption="Costo_Unitario" attribute="1" defaultMemberUniqueName="[tbl_Ventas 1].[Costo_Unitario].[All]" allUniqueName="[tbl_Ventas 1].[Costo_Unitario].[All]" dimensionUniqueName="[tbl_Ventas 1]" displayFolder="" count="0" memberValueDatatype="5" unbalanced="0"/>
    <cacheHierarchy uniqueName="[tbl_Ventas 1].[Ventas_Brutas]" caption="Ventas_Brutas" attribute="1" defaultMemberUniqueName="[tbl_Ventas 1].[Ventas_Brutas].[All]" allUniqueName="[tbl_Ventas 1].[Ventas_Brutas].[All]" dimensionUniqueName="[tbl_Ventas 1]" displayFolder="" count="0" memberValueDatatype="20" unbalanced="0"/>
    <cacheHierarchy uniqueName="[tbl_Ventas 1].[Ventas_Netas]" caption="Ventas_Netas" attribute="1" defaultMemberUniqueName="[tbl_Ventas 1].[Ventas_Netas].[All]" allUniqueName="[tbl_Ventas 1].[Ventas_Netas].[All]" dimensionUniqueName="[tbl_Ventas 1]" displayFolder="" count="0" memberValueDatatype="5" unbalanced="0"/>
    <cacheHierarchy uniqueName="[tbl_Ventas 1].[Margen]" caption="Margen" attribute="1" defaultMemberUniqueName="[tbl_Ventas 1].[Margen].[All]" allUniqueName="[tbl_Ventas 1].[Margen].[All]" dimensionUniqueName="[tbl_Ventas 1]" displayFolder="" count="0" memberValueDatatype="5" unbalanced="0"/>
    <cacheHierarchy uniqueName="[tbl_Ventas 1].[Estado_Pedido]" caption="Estado_Pedido" attribute="1" defaultMemberUniqueName="[tbl_Ventas 1].[Estado_Pedido].[All]" allUniqueName="[tbl_Ventas 1].[Estado_Pedido].[All]" dimensionUniqueName="[tbl_Ventas 1]" displayFolder="" count="0" memberValueDatatype="130" unbalanced="0"/>
    <cacheHierarchy uniqueName="[Measures].[Ventas Totales]" caption="Ventas Totales" measure="1" displayFolder="" measureGroup="tbl_Ventas" count="0"/>
    <cacheHierarchy uniqueName="[Measures].[Margen Total]" caption="Margen Total" measure="1" displayFolder="" measureGroup="tbl_Ventas" count="0"/>
    <cacheHierarchy uniqueName="[Measures].[Porcentaje]" caption="Porcentaje" measure="1" displayFolder="" measureGroup="tbl_Ventas" count="0"/>
    <cacheHierarchy uniqueName="[Measures].[Unidades Vendidas]" caption="Unidades Vendidas" measure="1" displayFolder="" measureGroup="tbl_Ventas" count="0"/>
    <cacheHierarchy uniqueName="[Measures].[__XL_Count tbl_Ventas]" caption="__XL_Count tbl_Ventas" measure="1" displayFolder="" measureGroup="tbl_Ventas" count="0" hidden="1"/>
    <cacheHierarchy uniqueName="[Measures].[__XL_Count tbl_Ventas 1]" caption="__XL_Count tbl_Ventas 1" measure="1" displayFolder="" measureGroup="tbl_Ventas 1" count="0" hidden="1"/>
    <cacheHierarchy uniqueName="[Measures].[__No measures defined]" caption="__No measures defined" measure="1" displayFolder="" count="0" hidden="1"/>
    <cacheHierarchy uniqueName="[Measures].[Suma de Ventas_Netas]" caption="Suma de Ventas_Netas" measure="1" displayFolder="" measureGroup="tbl_Ventas 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Ventas_Netas 2]" caption="Suma de Ventas_Netas 2" measure="1" displayFolder="" measureGroup="tbl_Vent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Margen]" caption="Suma de Margen" measure="1" displayFolder="" measureGroup="tbl_Venta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3109509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248982-60AE-4CFF-B111-631DACDAF7E0}" name="TablaDinámica2" cacheId="1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8:B21" firstHeaderRow="1" firstDataRow="1" firstDataCol="1"/>
  <pivotFields count="3">
    <pivotField axis="axisRow" allDrilled="1" subtotalTop="0" showAll="0" sortType="ascending" defaultSubtotal="0" defaultAttributeDrillState="1">
      <items count="12">
        <item x="3"/>
        <item x="4"/>
        <item x="7"/>
        <item x="0"/>
        <item x="8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Ventas_Netas" fld="1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632F82-A48C-4DFB-9B70-BE06AD1E0714}" name="TablaDinámica6" cacheId="205" applyNumberFormats="0" applyBorderFormats="0" applyFontFormats="0" applyPatternFormats="0" applyAlignmentFormats="0" applyWidthHeightFormats="1" dataCaption="Valores" tag="47e2283e-1240-4b04-b93c-72e258e9f947" updatedVersion="8" minRefreshableVersion="3" useAutoFormatting="1" itemPrintTitles="1" createdVersion="8" indent="0" outline="1" outlineData="1" multipleFieldFilters="0">
  <location ref="A31:C32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0"/>
    <dataField fld="2" subtotal="count" baseField="0" baseItem="0"/>
  </dataFields>
  <formats count="3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50"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A7A14-58FD-43D0-BCD2-ADED7E3D1DC4}" name="TablaDinámica3" cacheId="2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24:C28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sortType="ascending" defaultSubtotal="0" defaultAttributeDrillState="1">
      <items count="12">
        <item x="3"/>
        <item x="4"/>
        <item x="7"/>
        <item x="0"/>
        <item x="8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entas_Netas" fld="1" baseField="0" baseItem="0"/>
    <dataField fld="3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A8C895-B477-48D3-B700-74CA31E5AE7C}" name="TablaDinámica7" cacheId="208" applyNumberFormats="0" applyBorderFormats="0" applyFontFormats="0" applyPatternFormats="0" applyAlignmentFormats="0" applyWidthHeightFormats="1" dataCaption="Valores" tag="3280963a-bf34-4404-b534-1d34d5193171" updatedVersion="8" minRefreshableVersion="3" useAutoFormatting="1" itemPrintTitles="1" createdVersion="8" indent="0" outline="1" outlineData="1" multipleFieldFilters="0" chartFormat="10">
  <location ref="A2:H4" firstHeaderRow="1" firstDataRow="2" firstDataCol="1"/>
  <pivotFields count="4">
    <pivotField axis="axisCol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llDrilled="1" subtotalTop="0" showAll="0" sortType="ascending" defaultSubtotal="0" defaultAttributeDrillState="1">
      <items count="12">
        <item x="3"/>
        <item x="4"/>
        <item x="7"/>
        <item x="0"/>
        <item x="8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Ventas_Netas" fld="2" baseField="0" baseItem="0"/>
  </dataFields>
  <formats count="6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Col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axis="axisValues" fieldPosition="0"/>
    </format>
  </formats>
  <chartFormats count="24">
    <chartFormat chart="1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" format="1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1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1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" format="1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Ventas]"/>
        <x15:activeTabTopLevelEntity name="[tbl_Venta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" xr10:uid="{CB5F2DF5-0640-418F-9B23-596B853D4DCE}" sourceName="[tbl_Ventas].[Canal]">
  <pivotTables>
    <pivotTable tabId="7" name="TablaDinámica7"/>
    <pivotTable tabId="7" name="TablaDinámica3"/>
    <pivotTable tabId="7" name="TablaDinámica6"/>
    <pivotTable tabId="7" name="TablaDinámica2"/>
  </pivotTables>
  <data>
    <olap pivotCacheId="2031095094">
      <levels count="2">
        <level uniqueName="[tbl_Ventas].[Canal].[(All)]" sourceCaption="(All)" count="0"/>
        <level uniqueName="[tbl_Ventas].[Canal].[Canal]" sourceCaption="Canal" count="6">
          <ranges>
            <range startItem="0">
              <i n="[tbl_Ventas].[Canal].&amp;[Distribuidor]" c="Distribuidor"/>
              <i n="[tbl_Ventas].[Canal].&amp;[E-Commerce]" c="E-Commerce"/>
              <i n="[tbl_Ventas].[Canal].&amp;[Marketplace]" c="Marketplace"/>
              <i n="[tbl_Ventas].[Canal].&amp;[Mayorista]" c="Mayorista"/>
              <i n="[tbl_Ventas].[Canal].&amp;[Online]" c="Online"/>
              <i n="[tbl_Ventas].[Canal].&amp;[Retail]" c="Retail"/>
            </range>
          </ranges>
        </level>
      </levels>
      <selections count="1">
        <selection n="[tbl_Ventas].[Canal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DC6EF70A-530E-4566-8935-9DA74AF6CF5B}" sourceName="[tbl_Ventas].[Categoría]">
  <pivotTables>
    <pivotTable tabId="7" name="TablaDinámica2"/>
    <pivotTable tabId="7" name="TablaDinámica3"/>
    <pivotTable tabId="7" name="TablaDinámica6"/>
    <pivotTable tabId="7" name="TablaDinámica7"/>
  </pivotTables>
  <data>
    <olap pivotCacheId="2031095094">
      <levels count="2">
        <level uniqueName="[tbl_Ventas].[Categoría].[(All)]" sourceCaption="(All)" count="0"/>
        <level uniqueName="[tbl_Ventas].[Categoría].[Categoría]" sourceCaption="Categoría" count="3">
          <ranges>
            <range startItem="0">
              <i n="[tbl_Ventas].[Categoría].&amp;[Hogar]" c="Hogar"/>
              <i n="[tbl_Ventas].[Categoría].&amp;[Oficina]" c="Oficina"/>
              <i n="[tbl_Ventas].[Categoría].&amp;[Tecnología]" c="Tecnología"/>
            </range>
          </ranges>
        </level>
      </levels>
      <selections count="1">
        <selection n="[tbl_Ventas].[Categorí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B61A6CC0-0FB6-45E1-BD0C-AE88E7B7D80E}" sourceName="[tbl_Ventas].[Región]">
  <pivotTables>
    <pivotTable tabId="7" name="TablaDinámica2"/>
    <pivotTable tabId="7" name="TablaDinámica3"/>
    <pivotTable tabId="7" name="TablaDinámica6"/>
    <pivotTable tabId="7" name="TablaDinámica7"/>
  </pivotTables>
  <data>
    <olap pivotCacheId="2031095094">
      <levels count="2">
        <level uniqueName="[tbl_Ventas].[Región].[(All)]" sourceCaption="(All)" count="0"/>
        <level uniqueName="[tbl_Ventas].[Región].[Región]" sourceCaption="Región" count="7">
          <ranges>
            <range startItem="0">
              <i n="[tbl_Ventas].[Región].&amp;[CABA]" c="CABA"/>
              <i n="[tbl_Ventas].[Región].&amp;[Centro]" c="Centro"/>
              <i n="[tbl_Ventas].[Región].&amp;[Costa]" c="Costa"/>
              <i n="[tbl_Ventas].[Región].&amp;[Interior]" c="Interior"/>
              <i n="[tbl_Ventas].[Región].&amp;[Norte]" c="Norte"/>
              <i n="[tbl_Ventas].[Región].&amp;[Patagonia]" c="Patagonia"/>
              <i n="[tbl_Ventas].[Región].&amp;[Sur]" c="Sur"/>
            </range>
          </ranges>
        </level>
      </levels>
      <selections count="1">
        <selection n="[tbl_Ventas].[Región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nal" xr10:uid="{BBA0EC4F-C701-49D3-9242-9D961D73D12E}" cache="SegmentaciónDeDatos_Canal" caption="Canal" columnCount="2" level="1" style="SlicerStyleLight4" rowHeight="324000"/>
  <slicer name="Categoría" xr10:uid="{0F50CFEE-78E6-403E-86D2-6E4DA78C0E74}" cache="SegmentaciónDeDatos_Categoría" caption="Categoría" level="1" rowHeight="324000"/>
  <slicer name="Región" xr10:uid="{96223400-BC2E-455C-B3AA-1304F5EE7B21}" cache="SegmentaciónDeDatos_Región" caption="Región" columnCount="3" level="1" rowHeight="36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4B62D1-F3EB-45E4-AB62-089EF8566444}" name="Tabla1" displayName="Tabla1" ref="A5:F17" totalsRowShown="0" headerRowDxfId="195" dataDxfId="194">
  <autoFilter ref="A5:F17" xr:uid="{634B62D1-F3EB-45E4-AB62-089EF8566444}"/>
  <tableColumns count="6">
    <tableColumn id="1" xr3:uid="{AE6D093A-5677-4C85-86F1-632700EE861C}" name="Producto" dataDxfId="193"/>
    <tableColumn id="2" xr3:uid="{F1C7BE3A-1BDC-4285-AC95-3597D4AD6EA6}" name="Categoría" dataDxfId="192"/>
    <tableColumn id="3" xr3:uid="{0EDDF232-809E-4F55-AD3F-8B06C12A09C9}" name="Unidades" dataDxfId="191">
      <calculatedColumnFormula>SUMIFS(Datos_Crudos!$L:$L,Datos_Crudos!$H:$H,$A6)</calculatedColumnFormula>
    </tableColumn>
    <tableColumn id="4" xr3:uid="{7BFDE72E-1362-4903-A5C0-E37DDCEB7F30}" name="Ventas_Netas" dataDxfId="190">
      <calculatedColumnFormula>SUMIFS(Datos_Crudos!$Q:$Q,Datos_Crudos!$H:$H,$A6)</calculatedColumnFormula>
    </tableColumn>
    <tableColumn id="5" xr3:uid="{A0D16B8B-82F7-4328-8FE8-3BED07690D2C}" name="Margen" dataDxfId="189">
      <calculatedColumnFormula>SUMIFS(Datos_Crudos!$R:$R,Datos_Crudos!$H:$H,$A6)</calculatedColumnFormula>
    </tableColumn>
    <tableColumn id="6" xr3:uid="{8339A0A3-6973-4A33-B52A-A8DF49F8F558}" name="Ticket_Promedio" dataDxfId="188">
      <calculatedColumnFormula>IFERROR($D6/$C6,0)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325960-0C31-49DB-8B62-4C77039483E4}" name="tbl_Ventas" displayName="tbl_Ventas" ref="A1:S361" totalsRowShown="0" headerRowDxfId="178" dataDxfId="177">
  <autoFilter ref="A1:S361" xr:uid="{49325960-0C31-49DB-8B62-4C77039483E4}"/>
  <tableColumns count="19">
    <tableColumn id="1" xr3:uid="{F960EB4B-F0C6-4AAD-BFFD-0CCDA027C849}" name="Fecha" dataDxfId="176"/>
    <tableColumn id="2" xr3:uid="{633584B1-6194-4CAE-ABEE-6A5ADB122092}" name="Año" dataDxfId="175"/>
    <tableColumn id="3" xr3:uid="{7245C0C0-0449-4AB0-BDB5-618ED518DBDF}" name="Mes" dataDxfId="174"/>
    <tableColumn id="4" xr3:uid="{8BDF55FE-9657-4B53-83BC-BA208F51BBD4}" name="Trimestre" dataDxfId="173"/>
    <tableColumn id="5" xr3:uid="{374345E6-8A8E-4461-A8C7-6B6D6158D97C}" name="Región" dataDxfId="172"/>
    <tableColumn id="6" xr3:uid="{48C8F1B4-D9D6-4272-951F-923577C59BCE}" name="Canal" dataDxfId="171"/>
    <tableColumn id="7" xr3:uid="{D4265BA6-4286-4039-ACE7-5BEC16195B57}" name="Cliente" dataDxfId="170"/>
    <tableColumn id="8" xr3:uid="{9275312E-6490-4513-81AF-6FA0C60AC793}" name="Producto" dataDxfId="169"/>
    <tableColumn id="9" xr3:uid="{A06FA99C-55F0-4A1A-B99E-2C9294B1B2CB}" name="Categoría" dataDxfId="168"/>
    <tableColumn id="10" xr3:uid="{3DB4DE6F-7CA8-4701-BCF7-BB9245701134}" name="Subcategoría" dataDxfId="167"/>
    <tableColumn id="11" xr3:uid="{D02613A5-2916-43DD-8F85-27BB879953A8}" name="Vendedor" dataDxfId="166"/>
    <tableColumn id="12" xr3:uid="{4B6B3EB5-B18D-4CA7-8217-2ED640FBE5D4}" name="Unidades" dataDxfId="165"/>
    <tableColumn id="13" xr3:uid="{4040CBDE-4D2F-4528-A495-17B09A450DEA}" name="Precio_Lista" dataDxfId="164"/>
    <tableColumn id="14" xr3:uid="{7D0E6CFC-80C0-4119-A8C4-C9DFFEC04A9F}" name="Descuento_%" dataDxfId="163"/>
    <tableColumn id="15" xr3:uid="{15CB859A-17FE-448F-9A00-C8973DBEE61A}" name="Costo_Unitario" dataDxfId="162"/>
    <tableColumn id="16" xr3:uid="{F5F1F7A7-A026-4D23-99ED-C0C15635B393}" name="Ventas_Brutas" dataDxfId="161"/>
    <tableColumn id="17" xr3:uid="{0F875147-D06C-4892-8F42-888E0C11D536}" name="Ventas_Netas" dataDxfId="160"/>
    <tableColumn id="18" xr3:uid="{F59B11B5-5079-4A0B-9552-41AF82D94927}" name="Margen" dataDxfId="159"/>
    <tableColumn id="19" xr3:uid="{261AE9C3-3BE9-4F60-8222-CD940BF631A1}" name="Estado_Pedido" dataDxfId="15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000"/>
  <sheetViews>
    <sheetView showGridLines="0" workbookViewId="0">
      <selection activeCell="A5" sqref="A5:F17"/>
    </sheetView>
  </sheetViews>
  <sheetFormatPr baseColWidth="10" defaultColWidth="12.625" defaultRowHeight="15" customHeight="1"/>
  <cols>
    <col min="1" max="1" width="18" customWidth="1"/>
    <col min="2" max="2" width="14" customWidth="1"/>
    <col min="3" max="3" width="12" customWidth="1"/>
    <col min="4" max="5" width="16" customWidth="1"/>
    <col min="6" max="6" width="17.75" customWidth="1"/>
    <col min="7" max="26" width="8.625" customWidth="1"/>
  </cols>
  <sheetData>
    <row r="1" spans="1:8" ht="24" customHeight="1">
      <c r="A1" s="36" t="s">
        <v>3</v>
      </c>
      <c r="B1" s="37"/>
      <c r="C1" s="37"/>
      <c r="D1" s="37"/>
      <c r="E1" s="37"/>
      <c r="F1" s="37"/>
      <c r="G1" s="37"/>
      <c r="H1" s="37"/>
    </row>
    <row r="2" spans="1:8" ht="14.25">
      <c r="A2" s="38" t="str">
        <f>HYPERLINK("#Inicio_Dash","Resumen General")</f>
        <v>Resumen General</v>
      </c>
      <c r="B2" s="37"/>
      <c r="C2" s="37"/>
      <c r="D2" s="37"/>
      <c r="E2" s="39" t="str">
        <f>HYPERLINK("#Inicio_Detalle","Detalle por Producto")</f>
        <v>Detalle por Producto</v>
      </c>
      <c r="F2" s="37"/>
      <c r="G2" s="37"/>
      <c r="H2" s="37"/>
    </row>
    <row r="3" spans="1:8" ht="47.25" customHeight="1">
      <c r="A3" s="37"/>
      <c r="B3" s="37"/>
      <c r="C3" s="37"/>
      <c r="D3" s="37"/>
      <c r="E3" s="37"/>
      <c r="F3" s="37"/>
      <c r="G3" s="37"/>
      <c r="H3" s="37"/>
    </row>
    <row r="5" spans="1:8">
      <c r="A5" s="5" t="s">
        <v>9</v>
      </c>
      <c r="B5" s="5" t="s">
        <v>10</v>
      </c>
      <c r="C5" s="5" t="s">
        <v>13</v>
      </c>
      <c r="D5" s="5" t="s">
        <v>18</v>
      </c>
      <c r="E5" s="5" t="s">
        <v>19</v>
      </c>
      <c r="F5" s="5" t="s">
        <v>30</v>
      </c>
    </row>
    <row r="6" spans="1:8" ht="14.25">
      <c r="A6" s="3" t="s">
        <v>44</v>
      </c>
      <c r="B6" s="3" t="s">
        <v>47</v>
      </c>
      <c r="C6" s="8">
        <f>SUMIFS(Datos_Crudos!$L:$L,Datos_Crudos!$H:$H,$A6)</f>
        <v>522</v>
      </c>
      <c r="D6" s="4">
        <f>SUMIFS(Datos_Crudos!$Q:$Q,Datos_Crudos!$H:$H,$A6)</f>
        <v>44641118.619999997</v>
      </c>
      <c r="E6" s="4">
        <f>SUMIFS(Datos_Crudos!$R:$R,Datos_Crudos!$H:$H,$A6)</f>
        <v>13525264.890000002</v>
      </c>
      <c r="F6" s="4">
        <f t="shared" ref="F6:F17" si="0">IFERROR($D6/$C6,0)</f>
        <v>85519.384329501918</v>
      </c>
    </row>
    <row r="7" spans="1:8" ht="14.25">
      <c r="A7" s="3" t="s">
        <v>82</v>
      </c>
      <c r="B7" s="3" t="s">
        <v>47</v>
      </c>
      <c r="C7" s="8">
        <f>SUMIFS(Datos_Crudos!$L:$L,Datos_Crudos!$H:$H,$A7)</f>
        <v>896</v>
      </c>
      <c r="D7" s="4">
        <f>SUMIFS(Datos_Crudos!$Q:$Q,Datos_Crudos!$H:$H,$A7)</f>
        <v>70563335.739999995</v>
      </c>
      <c r="E7" s="4">
        <f>SUMIFS(Datos_Crudos!$R:$R,Datos_Crudos!$H:$H,$A7)</f>
        <v>22301134.650000002</v>
      </c>
      <c r="F7" s="4">
        <f t="shared" si="0"/>
        <v>78753.722924107133</v>
      </c>
    </row>
    <row r="8" spans="1:8" ht="14.25">
      <c r="A8" s="3" t="s">
        <v>96</v>
      </c>
      <c r="B8" s="3" t="s">
        <v>47</v>
      </c>
      <c r="C8" s="8">
        <f>SUMIFS(Datos_Crudos!$L:$L,Datos_Crudos!$H:$H,$A8)</f>
        <v>1009</v>
      </c>
      <c r="D8" s="4">
        <f>SUMIFS(Datos_Crudos!$Q:$Q,Datos_Crudos!$H:$H,$A8)</f>
        <v>116500206.08999999</v>
      </c>
      <c r="E8" s="4">
        <f>SUMIFS(Datos_Crudos!$R:$R,Datos_Crudos!$H:$H,$A8)</f>
        <v>42776574.38000001</v>
      </c>
      <c r="F8" s="4">
        <f t="shared" si="0"/>
        <v>115461.05658077303</v>
      </c>
    </row>
    <row r="9" spans="1:8" ht="14.25">
      <c r="A9" s="3" t="s">
        <v>58</v>
      </c>
      <c r="B9" s="3" t="s">
        <v>47</v>
      </c>
      <c r="C9" s="8">
        <f>SUMIFS(Datos_Crudos!$L:$L,Datos_Crudos!$H:$H,$A9)</f>
        <v>1347</v>
      </c>
      <c r="D9" s="4">
        <f>SUMIFS(Datos_Crudos!$Q:$Q,Datos_Crudos!$H:$H,$A9)</f>
        <v>136410041.50999996</v>
      </c>
      <c r="E9" s="4">
        <f>SUMIFS(Datos_Crudos!$R:$R,Datos_Crudos!$H:$H,$A9)</f>
        <v>48935362.980000004</v>
      </c>
      <c r="F9" s="4">
        <f t="shared" si="0"/>
        <v>101269.51856718631</v>
      </c>
    </row>
    <row r="10" spans="1:8" ht="14.25">
      <c r="A10" s="3" t="s">
        <v>112</v>
      </c>
      <c r="B10" s="3" t="s">
        <v>113</v>
      </c>
      <c r="C10" s="8">
        <f>SUMIFS(Datos_Crudos!$L:$L,Datos_Crudos!$H:$H,$A10)</f>
        <v>717</v>
      </c>
      <c r="D10" s="4">
        <f>SUMIFS(Datos_Crudos!$Q:$Q,Datos_Crudos!$H:$H,$A10)</f>
        <v>56285392.560000002</v>
      </c>
      <c r="E10" s="4">
        <f>SUMIFS(Datos_Crudos!$R:$R,Datos_Crudos!$H:$H,$A10)</f>
        <v>17910219.489999998</v>
      </c>
      <c r="F10" s="4">
        <f t="shared" si="0"/>
        <v>78501.244853556491</v>
      </c>
    </row>
    <row r="11" spans="1:8" ht="14.25">
      <c r="A11" s="3" t="s">
        <v>120</v>
      </c>
      <c r="B11" s="3" t="s">
        <v>113</v>
      </c>
      <c r="C11" s="8">
        <f>SUMIFS(Datos_Crudos!$L:$L,Datos_Crudos!$H:$H,$A11)</f>
        <v>783</v>
      </c>
      <c r="D11" s="4">
        <f>SUMIFS(Datos_Crudos!$Q:$Q,Datos_Crudos!$H:$H,$A11)</f>
        <v>74942474</v>
      </c>
      <c r="E11" s="4">
        <f>SUMIFS(Datos_Crudos!$R:$R,Datos_Crudos!$H:$H,$A11)</f>
        <v>26309455.719999999</v>
      </c>
      <c r="F11" s="4">
        <f t="shared" si="0"/>
        <v>95711.971902937425</v>
      </c>
    </row>
    <row r="12" spans="1:8" ht="14.25">
      <c r="A12" s="3" t="s">
        <v>102</v>
      </c>
      <c r="B12" s="3" t="s">
        <v>124</v>
      </c>
      <c r="C12" s="8">
        <f>SUMIFS(Datos_Crudos!$L:$L,Datos_Crudos!$H:$H,$A12)</f>
        <v>301</v>
      </c>
      <c r="D12" s="4">
        <f>SUMIFS(Datos_Crudos!$Q:$Q,Datos_Crudos!$H:$H,$A12)</f>
        <v>20274678.199999999</v>
      </c>
      <c r="E12" s="4">
        <f>SUMIFS(Datos_Crudos!$R:$R,Datos_Crudos!$H:$H,$A12)</f>
        <v>6055507.5600000005</v>
      </c>
      <c r="F12" s="4">
        <f t="shared" si="0"/>
        <v>67357.734883720928</v>
      </c>
    </row>
    <row r="13" spans="1:8" ht="14.25">
      <c r="A13" s="3" t="s">
        <v>75</v>
      </c>
      <c r="B13" s="3" t="s">
        <v>47</v>
      </c>
      <c r="C13" s="8">
        <f>SUMIFS(Datos_Crudos!$L:$L,Datos_Crudos!$H:$H,$A13)</f>
        <v>714</v>
      </c>
      <c r="D13" s="4">
        <f>SUMIFS(Datos_Crudos!$Q:$Q,Datos_Crudos!$H:$H,$A13)</f>
        <v>53910056.209999993</v>
      </c>
      <c r="E13" s="4">
        <f>SUMIFS(Datos_Crudos!$R:$R,Datos_Crudos!$H:$H,$A13)</f>
        <v>20843075.649999999</v>
      </c>
      <c r="F13" s="4">
        <f t="shared" si="0"/>
        <v>75504.280406162463</v>
      </c>
    </row>
    <row r="14" spans="1:8" ht="14.25">
      <c r="A14" s="3" t="s">
        <v>108</v>
      </c>
      <c r="B14" s="3" t="s">
        <v>47</v>
      </c>
      <c r="C14" s="8">
        <f>SUMIFS(Datos_Crudos!$L:$L,Datos_Crudos!$H:$H,$A14)</f>
        <v>955</v>
      </c>
      <c r="D14" s="4">
        <f>SUMIFS(Datos_Crudos!$Q:$Q,Datos_Crudos!$H:$H,$A14)</f>
        <v>79120953.719999999</v>
      </c>
      <c r="E14" s="4">
        <f>SUMIFS(Datos_Crudos!$R:$R,Datos_Crudos!$H:$H,$A14)</f>
        <v>23477805.41</v>
      </c>
      <c r="F14" s="4">
        <f t="shared" si="0"/>
        <v>82849.16619895288</v>
      </c>
    </row>
    <row r="15" spans="1:8" ht="14.25">
      <c r="A15" s="3" t="s">
        <v>48</v>
      </c>
      <c r="B15" s="3" t="s">
        <v>124</v>
      </c>
      <c r="C15" s="8">
        <f>SUMIFS(Datos_Crudos!$L:$L,Datos_Crudos!$H:$H,$A15)</f>
        <v>1744</v>
      </c>
      <c r="D15" s="4">
        <f>SUMIFS(Datos_Crudos!$Q:$Q,Datos_Crudos!$H:$H,$A15)</f>
        <v>174183957.92000002</v>
      </c>
      <c r="E15" s="4">
        <f>SUMIFS(Datos_Crudos!$R:$R,Datos_Crudos!$H:$H,$A15)</f>
        <v>64604358.710000001</v>
      </c>
      <c r="F15" s="4">
        <f t="shared" si="0"/>
        <v>99876.122660550463</v>
      </c>
    </row>
    <row r="16" spans="1:8" ht="14.25">
      <c r="A16" s="3" t="s">
        <v>26</v>
      </c>
      <c r="B16" s="3" t="s">
        <v>113</v>
      </c>
      <c r="C16" s="8">
        <f>SUMIFS(Datos_Crudos!$L:$L,Datos_Crudos!$H:$H,$A16)</f>
        <v>1367</v>
      </c>
      <c r="D16" s="4">
        <f>SUMIFS(Datos_Crudos!$Q:$Q,Datos_Crudos!$H:$H,$A16)</f>
        <v>75854179.509999976</v>
      </c>
      <c r="E16" s="4">
        <f>SUMIFS(Datos_Crudos!$R:$R,Datos_Crudos!$H:$H,$A16)</f>
        <v>22122417.230000004</v>
      </c>
      <c r="F16" s="4">
        <f t="shared" si="0"/>
        <v>55489.524147768818</v>
      </c>
    </row>
    <row r="17" spans="1:8" ht="14.25">
      <c r="A17" s="3" t="s">
        <v>37</v>
      </c>
      <c r="B17" s="3" t="s">
        <v>47</v>
      </c>
      <c r="C17" s="8">
        <f>SUMIFS(Datos_Crudos!$L:$L,Datos_Crudos!$H:$H,$A17)</f>
        <v>841</v>
      </c>
      <c r="D17" s="4">
        <f>SUMIFS(Datos_Crudos!$Q:$Q,Datos_Crudos!$H:$H,$A17)</f>
        <v>84910389.789999992</v>
      </c>
      <c r="E17" s="4">
        <f>SUMIFS(Datos_Crudos!$R:$R,Datos_Crudos!$H:$H,$A17)</f>
        <v>35104848.060000002</v>
      </c>
      <c r="F17" s="4">
        <f t="shared" si="0"/>
        <v>100963.6026040428</v>
      </c>
    </row>
    <row r="20" spans="1:8" ht="14.25">
      <c r="A20" s="40" t="s">
        <v>143</v>
      </c>
      <c r="B20" s="37"/>
      <c r="C20" s="37"/>
      <c r="D20" s="37"/>
      <c r="E20" s="37"/>
      <c r="F20" s="37"/>
      <c r="G20" s="37"/>
      <c r="H20" s="37"/>
    </row>
    <row r="21" spans="1:8" ht="15.75" customHeight="1"/>
    <row r="22" spans="1:8" ht="15.75" customHeight="1"/>
    <row r="23" spans="1:8" ht="15.75" customHeight="1"/>
    <row r="24" spans="1:8" ht="15.75" customHeight="1"/>
    <row r="25" spans="1:8" ht="15.75" customHeight="1"/>
    <row r="26" spans="1:8" ht="15.75" customHeight="1"/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H1"/>
    <mergeCell ref="A2:D3"/>
    <mergeCell ref="E2:H3"/>
    <mergeCell ref="A20:H20"/>
  </mergeCells>
  <pageMargins left="0.7" right="0.7" top="0.75" bottom="0.75" header="0" footer="0"/>
  <pageSetup orientation="landscape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F74C-DFBE-4217-8AC9-6AE3164F9836}">
  <dimension ref="A1:L61"/>
  <sheetViews>
    <sheetView showGridLines="0" tabSelected="1" topLeftCell="A5" zoomScale="55" zoomScaleNormal="55" workbookViewId="0">
      <selection activeCell="P3" sqref="P3"/>
    </sheetView>
  </sheetViews>
  <sheetFormatPr baseColWidth="10" defaultRowHeight="14.25"/>
  <cols>
    <col min="1" max="8" width="23.375" customWidth="1"/>
    <col min="10" max="10" width="14" bestFit="1" customWidth="1"/>
  </cols>
  <sheetData>
    <row r="1" spans="1:12" ht="71.25" customHeight="1">
      <c r="A1" s="19" t="s">
        <v>202</v>
      </c>
      <c r="B1" s="19"/>
      <c r="C1" s="19"/>
      <c r="D1" s="19"/>
      <c r="E1" s="19"/>
      <c r="F1" s="19"/>
      <c r="G1" s="19"/>
      <c r="H1" s="19"/>
    </row>
    <row r="2" spans="1:12" ht="7.5" customHeight="1"/>
    <row r="3" spans="1:12" s="16" customFormat="1" ht="54" customHeight="1">
      <c r="A3" s="29" t="s">
        <v>210</v>
      </c>
      <c r="B3" s="30"/>
      <c r="C3" s="29" t="s">
        <v>209</v>
      </c>
      <c r="D3" s="30"/>
      <c r="E3" s="29" t="s">
        <v>204</v>
      </c>
      <c r="F3" s="30"/>
      <c r="G3" s="29" t="s">
        <v>208</v>
      </c>
      <c r="H3" s="30"/>
      <c r="J3" s="16" t="s">
        <v>213</v>
      </c>
      <c r="L3" s="16" t="s">
        <v>212</v>
      </c>
    </row>
    <row r="4" spans="1:12" s="16" customFormat="1" ht="60.75" customHeight="1">
      <c r="A4" s="33">
        <f>GETPIVOTDATA("[Measures].[Suma de Ventas_Netas 2]",Auxiliar!$A$8)</f>
        <v>1003120430.2700002</v>
      </c>
      <c r="B4" s="34"/>
      <c r="C4" s="33">
        <f>GETPIVOTDATA("[Measures].[Margen Total]",Auxiliar!$A$31)</f>
        <v>343966024.73000032</v>
      </c>
      <c r="D4" s="34"/>
      <c r="E4" s="35">
        <f>GETPIVOTDATA("[Measures].[Porcentaje]",Auxiliar!$A$31)</f>
        <v>0.3428960415425078</v>
      </c>
      <c r="F4" s="35"/>
      <c r="G4" s="31" t="s">
        <v>207</v>
      </c>
      <c r="H4" s="32"/>
    </row>
    <row r="44" spans="1:8">
      <c r="A44" s="20" t="s">
        <v>211</v>
      </c>
      <c r="B44" s="21"/>
      <c r="C44" s="21"/>
      <c r="D44" s="21"/>
      <c r="E44" s="21"/>
      <c r="F44" s="21"/>
      <c r="G44" s="21"/>
      <c r="H44" s="22"/>
    </row>
    <row r="45" spans="1:8">
      <c r="A45" s="23"/>
      <c r="B45" s="24"/>
      <c r="C45" s="24"/>
      <c r="D45" s="24"/>
      <c r="E45" s="24"/>
      <c r="F45" s="24"/>
      <c r="G45" s="24"/>
      <c r="H45" s="25"/>
    </row>
    <row r="46" spans="1:8">
      <c r="A46" s="23"/>
      <c r="B46" s="24"/>
      <c r="C46" s="24"/>
      <c r="D46" s="24"/>
      <c r="E46" s="24"/>
      <c r="F46" s="24"/>
      <c r="G46" s="24"/>
      <c r="H46" s="25"/>
    </row>
    <row r="47" spans="1:8">
      <c r="A47" s="23"/>
      <c r="B47" s="24"/>
      <c r="C47" s="24"/>
      <c r="D47" s="24"/>
      <c r="E47" s="24"/>
      <c r="F47" s="24"/>
      <c r="G47" s="24"/>
      <c r="H47" s="25"/>
    </row>
    <row r="48" spans="1:8">
      <c r="A48" s="23"/>
      <c r="B48" s="24"/>
      <c r="C48" s="24"/>
      <c r="D48" s="24"/>
      <c r="E48" s="24"/>
      <c r="F48" s="24"/>
      <c r="G48" s="24"/>
      <c r="H48" s="25"/>
    </row>
    <row r="49" spans="1:8">
      <c r="A49" s="23"/>
      <c r="B49" s="24"/>
      <c r="C49" s="24"/>
      <c r="D49" s="24"/>
      <c r="E49" s="24"/>
      <c r="F49" s="24"/>
      <c r="G49" s="24"/>
      <c r="H49" s="25"/>
    </row>
    <row r="50" spans="1:8">
      <c r="A50" s="23"/>
      <c r="B50" s="24"/>
      <c r="C50" s="24"/>
      <c r="D50" s="24"/>
      <c r="E50" s="24"/>
      <c r="F50" s="24"/>
      <c r="G50" s="24"/>
      <c r="H50" s="25"/>
    </row>
    <row r="51" spans="1:8">
      <c r="A51" s="23"/>
      <c r="B51" s="24"/>
      <c r="C51" s="24"/>
      <c r="D51" s="24"/>
      <c r="E51" s="24"/>
      <c r="F51" s="24"/>
      <c r="G51" s="24"/>
      <c r="H51" s="25"/>
    </row>
    <row r="52" spans="1:8" ht="32.25" customHeight="1">
      <c r="A52" s="26"/>
      <c r="B52" s="27"/>
      <c r="C52" s="27"/>
      <c r="D52" s="27"/>
      <c r="E52" s="27"/>
      <c r="F52" s="27"/>
      <c r="G52" s="27"/>
      <c r="H52" s="28"/>
    </row>
    <row r="53" spans="1:8" ht="14.25" customHeight="1">
      <c r="A53" s="17"/>
      <c r="B53" s="18"/>
      <c r="C53" s="18"/>
      <c r="D53" s="18"/>
      <c r="E53" s="18"/>
      <c r="F53" s="18"/>
      <c r="G53" s="18"/>
      <c r="H53" s="18"/>
    </row>
    <row r="54" spans="1:8">
      <c r="A54" s="18"/>
      <c r="B54" s="18"/>
      <c r="C54" s="18"/>
      <c r="D54" s="18"/>
      <c r="E54" s="18"/>
      <c r="F54" s="18"/>
      <c r="G54" s="18"/>
      <c r="H54" s="18"/>
    </row>
    <row r="55" spans="1:8">
      <c r="A55" s="18"/>
      <c r="B55" s="18"/>
      <c r="C55" s="18"/>
      <c r="D55" s="18"/>
      <c r="E55" s="18"/>
      <c r="F55" s="18"/>
      <c r="G55" s="18"/>
      <c r="H55" s="18"/>
    </row>
    <row r="56" spans="1:8">
      <c r="A56" s="18"/>
      <c r="B56" s="18"/>
      <c r="C56" s="18"/>
      <c r="D56" s="18"/>
      <c r="E56" s="18"/>
      <c r="F56" s="18"/>
      <c r="G56" s="18"/>
      <c r="H56" s="18"/>
    </row>
    <row r="57" spans="1:8">
      <c r="A57" s="18"/>
      <c r="B57" s="18"/>
      <c r="C57" s="18"/>
      <c r="D57" s="18"/>
      <c r="E57" s="18"/>
      <c r="F57" s="18"/>
      <c r="G57" s="18"/>
      <c r="H57" s="18"/>
    </row>
    <row r="58" spans="1:8">
      <c r="A58" s="18"/>
      <c r="B58" s="18"/>
      <c r="C58" s="18"/>
      <c r="D58" s="18"/>
      <c r="E58" s="18"/>
      <c r="F58" s="18"/>
      <c r="G58" s="18"/>
      <c r="H58" s="18"/>
    </row>
    <row r="59" spans="1:8">
      <c r="A59" s="18"/>
      <c r="B59" s="18"/>
      <c r="C59" s="18"/>
      <c r="D59" s="18"/>
      <c r="E59" s="18"/>
      <c r="F59" s="18"/>
      <c r="G59" s="18"/>
      <c r="H59" s="18"/>
    </row>
    <row r="60" spans="1:8">
      <c r="A60" s="18"/>
      <c r="B60" s="18"/>
      <c r="C60" s="18"/>
      <c r="D60" s="18"/>
      <c r="E60" s="18"/>
      <c r="F60" s="18"/>
      <c r="G60" s="18"/>
      <c r="H60" s="18"/>
    </row>
    <row r="61" spans="1:8">
      <c r="A61" s="18"/>
      <c r="B61" s="18"/>
      <c r="C61" s="18"/>
      <c r="D61" s="18"/>
      <c r="E61" s="18"/>
      <c r="F61" s="18"/>
      <c r="G61" s="18"/>
      <c r="H61" s="18"/>
    </row>
  </sheetData>
  <mergeCells count="10">
    <mergeCell ref="A1:H1"/>
    <mergeCell ref="A44:H52"/>
    <mergeCell ref="G3:H3"/>
    <mergeCell ref="G4:H4"/>
    <mergeCell ref="A3:B3"/>
    <mergeCell ref="A4:B4"/>
    <mergeCell ref="C3:D3"/>
    <mergeCell ref="C4:D4"/>
    <mergeCell ref="E3:F3"/>
    <mergeCell ref="E4:F4"/>
  </mergeCells>
  <conditionalFormatting sqref="A4:B4">
    <cfRule type="expression" dxfId="31" priority="8">
      <formula>A4&gt;=1000000000</formula>
    </cfRule>
  </conditionalFormatting>
  <conditionalFormatting sqref="C4:D4">
    <cfRule type="expression" dxfId="30" priority="3">
      <formula>C4&lt;300000000</formula>
    </cfRule>
    <cfRule type="expression" dxfId="29" priority="4">
      <formula>C4&gt;=300000000</formula>
    </cfRule>
  </conditionalFormatting>
  <conditionalFormatting sqref="E4:F4">
    <cfRule type="expression" dxfId="28" priority="1">
      <formula>E4&lt;=30%</formula>
    </cfRule>
    <cfRule type="expression" dxfId="27" priority="2">
      <formula>E4&gt;30%</formula>
    </cfRule>
  </conditionalFormatting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00"/>
  <sheetViews>
    <sheetView workbookViewId="0">
      <selection sqref="A1:E1"/>
    </sheetView>
  </sheetViews>
  <sheetFormatPr baseColWidth="10" defaultColWidth="12.625" defaultRowHeight="15" customHeight="1"/>
  <cols>
    <col min="1" max="1" width="14" customWidth="1"/>
    <col min="2" max="3" width="16" customWidth="1"/>
    <col min="4" max="4" width="12" customWidth="1"/>
    <col min="5" max="5" width="16" customWidth="1"/>
    <col min="6" max="6" width="8.625" customWidth="1"/>
    <col min="7" max="7" width="12.375" customWidth="1"/>
    <col min="8" max="8" width="42" customWidth="1"/>
    <col min="9" max="26" width="8.625" customWidth="1"/>
  </cols>
  <sheetData>
    <row r="1" spans="1:8" ht="24" customHeight="1">
      <c r="A1" s="41" t="s">
        <v>0</v>
      </c>
      <c r="B1" s="37"/>
      <c r="C1" s="37"/>
      <c r="D1" s="37"/>
      <c r="E1" s="37"/>
    </row>
    <row r="3" spans="1:8" ht="19.5" customHeight="1">
      <c r="A3" s="5" t="s">
        <v>4</v>
      </c>
      <c r="B3" s="5" t="s">
        <v>18</v>
      </c>
      <c r="C3" s="5" t="s">
        <v>19</v>
      </c>
      <c r="D3" s="5" t="s">
        <v>13</v>
      </c>
      <c r="E3" s="5" t="s">
        <v>30</v>
      </c>
      <c r="G3" s="7" t="s">
        <v>31</v>
      </c>
      <c r="H3" s="7"/>
    </row>
    <row r="4" spans="1:8" ht="19.5" customHeight="1">
      <c r="A4" s="3" t="s">
        <v>21</v>
      </c>
      <c r="B4" s="4">
        <f>SUMIFS(Datos_Crudos!$Q:$Q,Datos_Crudos!$C:$C,$A4)</f>
        <v>74587317.640000001</v>
      </c>
      <c r="C4" s="4">
        <f>SUMIFS(Datos_Crudos!$R:$R,Datos_Crudos!$C:$C,$A4)</f>
        <v>25491254.120000005</v>
      </c>
      <c r="D4" s="8">
        <f>SUMIFS(Datos_Crudos!$L:$L,Datos_Crudos!$C:$C,$A4)</f>
        <v>735</v>
      </c>
      <c r="E4" s="4">
        <f t="shared" ref="E4:E15" si="0">IFERROR($B4/$D4,0)</f>
        <v>101479.34372789116</v>
      </c>
      <c r="G4" s="9" t="s">
        <v>71</v>
      </c>
      <c r="H4" s="10" t="s">
        <v>77</v>
      </c>
    </row>
    <row r="5" spans="1:8" ht="19.5" customHeight="1">
      <c r="A5" s="3" t="s">
        <v>33</v>
      </c>
      <c r="B5" s="4">
        <f>SUMIFS(Datos_Crudos!$Q:$Q,Datos_Crudos!$C:$C,$A5)</f>
        <v>59788145.600000009</v>
      </c>
      <c r="C5" s="4">
        <f>SUMIFS(Datos_Crudos!$R:$R,Datos_Crudos!$C:$C,$A5)</f>
        <v>16555684.98</v>
      </c>
      <c r="D5" s="8">
        <f>SUMIFS(Datos_Crudos!$L:$L,Datos_Crudos!$C:$C,$A5)</f>
        <v>961</v>
      </c>
      <c r="E5" s="4">
        <f t="shared" si="0"/>
        <v>62214.511550468269</v>
      </c>
      <c r="G5" s="9" t="s">
        <v>94</v>
      </c>
      <c r="H5" s="10" t="s">
        <v>97</v>
      </c>
    </row>
    <row r="6" spans="1:8" ht="19.5" customHeight="1">
      <c r="A6" s="3" t="s">
        <v>42</v>
      </c>
      <c r="B6" s="4">
        <f>SUMIFS(Datos_Crudos!$Q:$Q,Datos_Crudos!$C:$C,$A6)</f>
        <v>95487410.269999996</v>
      </c>
      <c r="C6" s="4">
        <f>SUMIFS(Datos_Crudos!$R:$R,Datos_Crudos!$C:$C,$A6)</f>
        <v>36813684.43</v>
      </c>
      <c r="D6" s="8">
        <f>SUMIFS(Datos_Crudos!$L:$L,Datos_Crudos!$C:$C,$A6)</f>
        <v>1122</v>
      </c>
      <c r="E6" s="4">
        <f t="shared" si="0"/>
        <v>85104.643734402853</v>
      </c>
      <c r="G6" s="9" t="s">
        <v>107</v>
      </c>
      <c r="H6" s="10" t="s">
        <v>109</v>
      </c>
    </row>
    <row r="7" spans="1:8" ht="19.5" customHeight="1">
      <c r="A7" s="3" t="s">
        <v>53</v>
      </c>
      <c r="B7" s="4">
        <f>SUMIFS(Datos_Crudos!$Q:$Q,Datos_Crudos!$C:$C,$A7)</f>
        <v>50180273.449999996</v>
      </c>
      <c r="C7" s="4">
        <f>SUMIFS(Datos_Crudos!$R:$R,Datos_Crudos!$C:$C,$A7)</f>
        <v>15001025.699999999</v>
      </c>
      <c r="D7" s="8">
        <f>SUMIFS(Datos_Crudos!$L:$L,Datos_Crudos!$C:$C,$A7)</f>
        <v>564</v>
      </c>
      <c r="E7" s="4">
        <f t="shared" si="0"/>
        <v>88972.116046099283</v>
      </c>
      <c r="G7" s="9" t="s">
        <v>117</v>
      </c>
      <c r="H7" s="10" t="s">
        <v>118</v>
      </c>
    </row>
    <row r="8" spans="1:8" ht="19.5" customHeight="1">
      <c r="A8" s="3" t="s">
        <v>63</v>
      </c>
      <c r="B8" s="4">
        <f>SUMIFS(Datos_Crudos!$Q:$Q,Datos_Crudos!$C:$C,$A8)</f>
        <v>63280395.799999997</v>
      </c>
      <c r="C8" s="4">
        <f>SUMIFS(Datos_Crudos!$R:$R,Datos_Crudos!$C:$C,$A8)</f>
        <v>23107821.640000004</v>
      </c>
      <c r="D8" s="8">
        <f>SUMIFS(Datos_Crudos!$L:$L,Datos_Crudos!$C:$C,$A8)</f>
        <v>804</v>
      </c>
      <c r="E8" s="4">
        <f t="shared" si="0"/>
        <v>78706.959950248754</v>
      </c>
      <c r="G8" s="9" t="s">
        <v>125</v>
      </c>
      <c r="H8" s="10" t="s">
        <v>126</v>
      </c>
    </row>
    <row r="9" spans="1:8" ht="14.25">
      <c r="A9" s="3" t="s">
        <v>68</v>
      </c>
      <c r="B9" s="4">
        <f>SUMIFS(Datos_Crudos!$Q:$Q,Datos_Crudos!$C:$C,$A9)</f>
        <v>93736031.25999999</v>
      </c>
      <c r="C9" s="4">
        <f>SUMIFS(Datos_Crudos!$R:$R,Datos_Crudos!$C:$C,$A9)</f>
        <v>34250147.209999993</v>
      </c>
      <c r="D9" s="8">
        <f>SUMIFS(Datos_Crudos!$L:$L,Datos_Crudos!$C:$C,$A9)</f>
        <v>1112</v>
      </c>
      <c r="E9" s="4">
        <f t="shared" si="0"/>
        <v>84294.992140287766</v>
      </c>
    </row>
    <row r="10" spans="1:8" ht="28.5">
      <c r="A10" s="3" t="s">
        <v>72</v>
      </c>
      <c r="B10" s="4">
        <f>SUMIFS(Datos_Crudos!$Q:$Q,Datos_Crudos!$C:$C,$A10)</f>
        <v>125018944.84</v>
      </c>
      <c r="C10" s="4">
        <f>SUMIFS(Datos_Crudos!$R:$R,Datos_Crudos!$C:$C,$A10)</f>
        <v>45527916.799999997</v>
      </c>
      <c r="D10" s="8">
        <f>SUMIFS(Datos_Crudos!$L:$L,Datos_Crudos!$C:$C,$A10)</f>
        <v>1376</v>
      </c>
      <c r="E10" s="4">
        <f t="shared" si="0"/>
        <v>90856.791308139538</v>
      </c>
      <c r="G10" s="10" t="s">
        <v>128</v>
      </c>
      <c r="H10" s="10" t="s">
        <v>129</v>
      </c>
    </row>
    <row r="11" spans="1:8" ht="14.25">
      <c r="A11" s="3" t="s">
        <v>78</v>
      </c>
      <c r="B11" s="4">
        <f>SUMIFS(Datos_Crudos!$Q:$Q,Datos_Crudos!$C:$C,$A11)</f>
        <v>62673740.609999992</v>
      </c>
      <c r="C11" s="4">
        <f>SUMIFS(Datos_Crudos!$R:$R,Datos_Crudos!$C:$C,$A11)</f>
        <v>19261077.990000002</v>
      </c>
      <c r="D11" s="8">
        <f>SUMIFS(Datos_Crudos!$L:$L,Datos_Crudos!$C:$C,$A11)</f>
        <v>668</v>
      </c>
      <c r="E11" s="4">
        <f t="shared" si="0"/>
        <v>93822.964985029932</v>
      </c>
      <c r="G11" s="10" t="s">
        <v>135</v>
      </c>
      <c r="H11" s="10" t="s">
        <v>136</v>
      </c>
    </row>
    <row r="12" spans="1:8" ht="14.25">
      <c r="A12" s="3" t="s">
        <v>85</v>
      </c>
      <c r="B12" s="4">
        <f>SUMIFS(Datos_Crudos!$Q:$Q,Datos_Crudos!$C:$C,$A12)</f>
        <v>59677426.870000005</v>
      </c>
      <c r="C12" s="4">
        <f>SUMIFS(Datos_Crudos!$R:$R,Datos_Crudos!$C:$C,$A12)</f>
        <v>16746028.620000003</v>
      </c>
      <c r="D12" s="8">
        <f>SUMIFS(Datos_Crudos!$L:$L,Datos_Crudos!$C:$C,$A12)</f>
        <v>675</v>
      </c>
      <c r="E12" s="4">
        <f t="shared" si="0"/>
        <v>88411.002770370382</v>
      </c>
      <c r="G12" s="10" t="s">
        <v>140</v>
      </c>
      <c r="H12" s="10" t="s">
        <v>141</v>
      </c>
    </row>
    <row r="13" spans="1:8" ht="14.25">
      <c r="A13" s="3" t="s">
        <v>88</v>
      </c>
      <c r="B13" s="4">
        <f>SUMIFS(Datos_Crudos!$Q:$Q,Datos_Crudos!$C:$C,$A13)</f>
        <v>86928101.589999974</v>
      </c>
      <c r="C13" s="4">
        <f>SUMIFS(Datos_Crudos!$R:$R,Datos_Crudos!$C:$C,$A13)</f>
        <v>26810874.210000001</v>
      </c>
      <c r="D13" s="8">
        <f>SUMIFS(Datos_Crudos!$L:$L,Datos_Crudos!$C:$C,$A13)</f>
        <v>763</v>
      </c>
      <c r="E13" s="4">
        <f t="shared" si="0"/>
        <v>113929.35988204453</v>
      </c>
    </row>
    <row r="14" spans="1:8" ht="14.25">
      <c r="A14" s="3" t="s">
        <v>93</v>
      </c>
      <c r="B14" s="4">
        <f>SUMIFS(Datos_Crudos!$Q:$Q,Datos_Crudos!$C:$C,$A14)</f>
        <v>100789415.47</v>
      </c>
      <c r="C14" s="4">
        <f>SUMIFS(Datos_Crudos!$R:$R,Datos_Crudos!$C:$C,$A14)</f>
        <v>36077854.600000001</v>
      </c>
      <c r="D14" s="8">
        <f>SUMIFS(Datos_Crudos!$L:$L,Datos_Crudos!$C:$C,$A14)</f>
        <v>1297</v>
      </c>
      <c r="E14" s="4">
        <f t="shared" si="0"/>
        <v>77709.649552814182</v>
      </c>
    </row>
    <row r="15" spans="1:8" ht="14.25">
      <c r="A15" s="3" t="s">
        <v>99</v>
      </c>
      <c r="B15" s="4">
        <f>SUMIFS(Datos_Crudos!$Q:$Q,Datos_Crudos!$C:$C,$A15)</f>
        <v>115449580.46999998</v>
      </c>
      <c r="C15" s="4">
        <f>SUMIFS(Datos_Crudos!$R:$R,Datos_Crudos!$C:$C,$A15)</f>
        <v>48322654.43</v>
      </c>
      <c r="D15" s="8">
        <f>SUMIFS(Datos_Crudos!$L:$L,Datos_Crudos!$C:$C,$A15)</f>
        <v>1119</v>
      </c>
      <c r="E15" s="4">
        <f t="shared" si="0"/>
        <v>103172.10050938337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F321-09C8-4EA3-AFE4-5C18C23986E2}">
  <dimension ref="A2:H32"/>
  <sheetViews>
    <sheetView showGridLines="0" topLeftCell="A4" zoomScale="70" zoomScaleNormal="70" workbookViewId="0">
      <selection activeCell="H8" sqref="H8"/>
    </sheetView>
  </sheetViews>
  <sheetFormatPr baseColWidth="10" defaultRowHeight="14.25"/>
  <cols>
    <col min="1" max="1" width="25" bestFit="1" customWidth="1"/>
    <col min="2" max="2" width="26" bestFit="1" customWidth="1"/>
    <col min="3" max="7" width="15.25" bestFit="1" customWidth="1"/>
    <col min="8" max="8" width="14.625" bestFit="1" customWidth="1"/>
    <col min="9" max="9" width="14.25" bestFit="1" customWidth="1"/>
    <col min="10" max="10" width="13.75" bestFit="1" customWidth="1"/>
    <col min="11" max="13" width="14" bestFit="1" customWidth="1"/>
    <col min="14" max="14" width="12.875" bestFit="1" customWidth="1"/>
    <col min="15" max="15" width="15.25" bestFit="1" customWidth="1"/>
    <col min="16" max="16" width="13.75" bestFit="1" customWidth="1"/>
    <col min="17" max="18" width="14" bestFit="1" customWidth="1"/>
    <col min="19" max="19" width="15.25" bestFit="1" customWidth="1"/>
    <col min="20" max="20" width="14" bestFit="1" customWidth="1"/>
    <col min="21" max="22" width="15.25" bestFit="1" customWidth="1"/>
    <col min="23" max="23" width="11" bestFit="1" customWidth="1"/>
    <col min="24" max="24" width="14" bestFit="1" customWidth="1"/>
    <col min="25" max="25" width="12.75" bestFit="1" customWidth="1"/>
    <col min="26" max="26" width="14" bestFit="1" customWidth="1"/>
    <col min="27" max="27" width="14.25" bestFit="1" customWidth="1"/>
    <col min="28" max="28" width="15.25" bestFit="1" customWidth="1"/>
    <col min="29" max="30" width="14" bestFit="1" customWidth="1"/>
    <col min="31" max="31" width="10.25" bestFit="1" customWidth="1"/>
    <col min="32" max="32" width="14" bestFit="1" customWidth="1"/>
    <col min="33" max="33" width="14.25" bestFit="1" customWidth="1"/>
    <col min="34" max="35" width="15.25" bestFit="1" customWidth="1"/>
    <col min="36" max="38" width="14" bestFit="1" customWidth="1"/>
    <col min="39" max="39" width="15.25" bestFit="1" customWidth="1"/>
    <col min="40" max="40" width="13.75" bestFit="1" customWidth="1"/>
    <col min="41" max="41" width="15.25" bestFit="1" customWidth="1"/>
    <col min="42" max="42" width="12.75" bestFit="1" customWidth="1"/>
    <col min="43" max="44" width="14" bestFit="1" customWidth="1"/>
    <col min="45" max="45" width="14.25" bestFit="1" customWidth="1"/>
    <col min="46" max="46" width="13.75" bestFit="1" customWidth="1"/>
    <col min="47" max="47" width="14" bestFit="1" customWidth="1"/>
    <col min="48" max="49" width="15.25" bestFit="1" customWidth="1"/>
    <col min="50" max="50" width="12.75" bestFit="1" customWidth="1"/>
    <col min="51" max="51" width="14.25" bestFit="1" customWidth="1"/>
    <col min="52" max="53" width="15.25" bestFit="1" customWidth="1"/>
    <col min="54" max="54" width="12.75" bestFit="1" customWidth="1"/>
    <col min="55" max="56" width="15.25" bestFit="1" customWidth="1"/>
    <col min="57" max="57" width="14.25" bestFit="1" customWidth="1"/>
    <col min="58" max="58" width="14" bestFit="1" customWidth="1"/>
    <col min="59" max="59" width="15.25" bestFit="1" customWidth="1"/>
    <col min="60" max="62" width="14" bestFit="1" customWidth="1"/>
    <col min="63" max="63" width="14.25" bestFit="1" customWidth="1"/>
    <col min="64" max="64" width="14" bestFit="1" customWidth="1"/>
    <col min="65" max="65" width="15.25" bestFit="1" customWidth="1"/>
    <col min="66" max="66" width="11.5" bestFit="1" customWidth="1"/>
    <col min="67" max="67" width="14" bestFit="1" customWidth="1"/>
    <col min="68" max="69" width="14.25" bestFit="1" customWidth="1"/>
    <col min="70" max="70" width="14" bestFit="1" customWidth="1"/>
    <col min="71" max="72" width="12.75" bestFit="1" customWidth="1"/>
    <col min="73" max="73" width="15.25" bestFit="1" customWidth="1"/>
    <col min="74" max="74" width="14.625" bestFit="1" customWidth="1"/>
  </cols>
  <sheetData>
    <row r="2" spans="1:8">
      <c r="A2" s="11"/>
      <c r="B2" s="12" t="s">
        <v>201</v>
      </c>
      <c r="C2" s="11"/>
      <c r="D2" s="11"/>
      <c r="E2" s="11"/>
      <c r="F2" s="11"/>
      <c r="G2" s="11"/>
      <c r="H2" s="11"/>
    </row>
    <row r="3" spans="1:8">
      <c r="A3" s="11"/>
      <c r="B3" s="11" t="s">
        <v>132</v>
      </c>
      <c r="C3" s="11" t="s">
        <v>214</v>
      </c>
      <c r="D3" s="11" t="s">
        <v>101</v>
      </c>
      <c r="E3" s="11" t="s">
        <v>91</v>
      </c>
      <c r="F3" s="11" t="s">
        <v>56</v>
      </c>
      <c r="G3" s="11" t="s">
        <v>86</v>
      </c>
      <c r="H3" s="11" t="s">
        <v>199</v>
      </c>
    </row>
    <row r="4" spans="1:8">
      <c r="A4" s="11" t="s">
        <v>200</v>
      </c>
      <c r="B4" s="43">
        <v>122816643.43999998</v>
      </c>
      <c r="C4" s="43">
        <v>110795928.72</v>
      </c>
      <c r="D4" s="43">
        <v>148800880.46000001</v>
      </c>
      <c r="E4" s="43">
        <v>188654727.49999997</v>
      </c>
      <c r="F4" s="43">
        <v>189407365.06000003</v>
      </c>
      <c r="G4" s="43">
        <v>242644885.08999997</v>
      </c>
      <c r="H4" s="43">
        <v>1003120430.2700002</v>
      </c>
    </row>
    <row r="8" spans="1:8">
      <c r="A8" s="13" t="s">
        <v>198</v>
      </c>
      <c r="B8" t="s">
        <v>200</v>
      </c>
    </row>
    <row r="9" spans="1:8">
      <c r="A9" s="14" t="s">
        <v>21</v>
      </c>
      <c r="B9" s="42">
        <v>74587317.640000015</v>
      </c>
    </row>
    <row r="10" spans="1:8">
      <c r="A10" s="14" t="s">
        <v>33</v>
      </c>
      <c r="B10" s="42">
        <v>64380716.000000007</v>
      </c>
    </row>
    <row r="11" spans="1:8">
      <c r="A11" s="14" t="s">
        <v>42</v>
      </c>
      <c r="B11" s="42">
        <v>95487410.269999996</v>
      </c>
    </row>
    <row r="12" spans="1:8">
      <c r="A12" s="14" t="s">
        <v>53</v>
      </c>
      <c r="B12" s="42">
        <v>50925383.449999988</v>
      </c>
    </row>
    <row r="13" spans="1:8">
      <c r="A13" s="14" t="s">
        <v>63</v>
      </c>
      <c r="B13" s="42">
        <v>63497435.800000004</v>
      </c>
    </row>
    <row r="14" spans="1:8">
      <c r="A14" s="14" t="s">
        <v>68</v>
      </c>
      <c r="B14" s="42">
        <v>101383263.25999998</v>
      </c>
    </row>
    <row r="15" spans="1:8">
      <c r="A15" s="14" t="s">
        <v>72</v>
      </c>
      <c r="B15" s="42">
        <v>125018944.83999999</v>
      </c>
    </row>
    <row r="16" spans="1:8">
      <c r="A16" s="14" t="s">
        <v>78</v>
      </c>
      <c r="B16" s="42">
        <v>62673740.609999999</v>
      </c>
    </row>
    <row r="17" spans="1:3">
      <c r="A17" s="14" t="s">
        <v>85</v>
      </c>
      <c r="B17" s="42">
        <v>59677426.870000012</v>
      </c>
    </row>
    <row r="18" spans="1:3">
      <c r="A18" s="14" t="s">
        <v>88</v>
      </c>
      <c r="B18" s="42">
        <v>86928101.589999989</v>
      </c>
    </row>
    <row r="19" spans="1:3">
      <c r="A19" s="14" t="s">
        <v>93</v>
      </c>
      <c r="B19" s="42">
        <v>100789415.46999998</v>
      </c>
    </row>
    <row r="20" spans="1:3">
      <c r="A20" s="14" t="s">
        <v>99</v>
      </c>
      <c r="B20" s="42">
        <v>117771274.47000001</v>
      </c>
    </row>
    <row r="21" spans="1:3">
      <c r="A21" s="14" t="s">
        <v>199</v>
      </c>
      <c r="B21" s="42">
        <v>1003120430.2700002</v>
      </c>
    </row>
    <row r="24" spans="1:3">
      <c r="A24" s="13" t="s">
        <v>198</v>
      </c>
      <c r="B24" t="s">
        <v>200</v>
      </c>
      <c r="C24" t="s">
        <v>205</v>
      </c>
    </row>
    <row r="25" spans="1:3">
      <c r="A25" s="14" t="s">
        <v>124</v>
      </c>
      <c r="B25" s="42">
        <v>202105868.12000003</v>
      </c>
      <c r="C25" s="42">
        <v>70659866.269999981</v>
      </c>
    </row>
    <row r="26" spans="1:3">
      <c r="A26" s="14" t="s">
        <v>113</v>
      </c>
      <c r="B26" s="42">
        <v>207082046.06999996</v>
      </c>
      <c r="C26" s="42">
        <v>66342092.439999998</v>
      </c>
    </row>
    <row r="27" spans="1:3">
      <c r="A27" s="14" t="s">
        <v>47</v>
      </c>
      <c r="B27" s="42">
        <v>593932516.08000004</v>
      </c>
      <c r="C27" s="42">
        <v>206964066.01999995</v>
      </c>
    </row>
    <row r="28" spans="1:3">
      <c r="A28" s="14" t="s">
        <v>199</v>
      </c>
      <c r="B28" s="42">
        <v>1003120430.2700002</v>
      </c>
      <c r="C28" s="42">
        <v>343966024.73000032</v>
      </c>
    </row>
    <row r="31" spans="1:3">
      <c r="A31" s="11" t="s">
        <v>203</v>
      </c>
      <c r="B31" s="11" t="s">
        <v>205</v>
      </c>
      <c r="C31" s="11" t="s">
        <v>206</v>
      </c>
    </row>
    <row r="32" spans="1:3">
      <c r="A32" s="43">
        <v>1003120430.2700002</v>
      </c>
      <c r="B32" s="43">
        <v>343966024.73000032</v>
      </c>
      <c r="C32" s="15">
        <v>0.3428960415425078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000"/>
  <sheetViews>
    <sheetView topLeftCell="A2" workbookViewId="0">
      <selection activeCell="A2" sqref="A2"/>
    </sheetView>
  </sheetViews>
  <sheetFormatPr baseColWidth="10" defaultColWidth="12.625" defaultRowHeight="15" customHeight="1"/>
  <cols>
    <col min="1" max="1" width="12" customWidth="1"/>
    <col min="2" max="2" width="8" customWidth="1"/>
    <col min="3" max="3" width="14" customWidth="1"/>
    <col min="4" max="4" width="10.25" customWidth="1"/>
    <col min="5" max="5" width="12" customWidth="1"/>
    <col min="6" max="7" width="16" customWidth="1"/>
    <col min="8" max="8" width="18" customWidth="1"/>
    <col min="9" max="11" width="16" customWidth="1"/>
    <col min="12" max="12" width="10.125" customWidth="1"/>
    <col min="13" max="13" width="12.5" customWidth="1"/>
    <col min="14" max="14" width="13.125" customWidth="1"/>
    <col min="15" max="15" width="14.25" customWidth="1"/>
    <col min="16" max="18" width="14" customWidth="1"/>
    <col min="19" max="19" width="14.5" customWidth="1"/>
    <col min="20" max="26" width="8.625" customWidth="1"/>
  </cols>
  <sheetData>
    <row r="1" spans="1:19" ht="14.25">
      <c r="A1" s="1" t="s">
        <v>1</v>
      </c>
      <c r="B1" s="1" t="s">
        <v>2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</row>
    <row r="2" spans="1:19" ht="14.25">
      <c r="A2" s="2">
        <v>45295</v>
      </c>
      <c r="B2" s="3">
        <v>2024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 t="s">
        <v>27</v>
      </c>
      <c r="J2" s="3" t="s">
        <v>28</v>
      </c>
      <c r="K2" s="3" t="s">
        <v>29</v>
      </c>
      <c r="L2" s="3">
        <v>9</v>
      </c>
      <c r="M2" s="4">
        <v>154964</v>
      </c>
      <c r="N2" s="6">
        <v>0.08</v>
      </c>
      <c r="O2" s="3">
        <v>71457.61</v>
      </c>
      <c r="P2" s="4">
        <v>1394676</v>
      </c>
      <c r="Q2" s="4">
        <v>1283101.92</v>
      </c>
      <c r="R2" s="4">
        <v>639983.43000000005</v>
      </c>
      <c r="S2" s="3" t="s">
        <v>32</v>
      </c>
    </row>
    <row r="3" spans="1:19" ht="14.25">
      <c r="A3" s="2">
        <v>45340</v>
      </c>
      <c r="B3" s="3">
        <v>2024</v>
      </c>
      <c r="C3" s="3" t="s">
        <v>33</v>
      </c>
      <c r="D3" s="3" t="s">
        <v>22</v>
      </c>
      <c r="E3" s="3" t="s">
        <v>34</v>
      </c>
      <c r="F3" s="3" t="s">
        <v>35</v>
      </c>
      <c r="G3" s="3" t="s">
        <v>36</v>
      </c>
      <c r="H3" s="3" t="s">
        <v>37</v>
      </c>
      <c r="I3" s="3" t="s">
        <v>38</v>
      </c>
      <c r="J3" s="3" t="s">
        <v>39</v>
      </c>
      <c r="K3" s="3" t="s">
        <v>40</v>
      </c>
      <c r="L3" s="3">
        <v>1</v>
      </c>
      <c r="M3" s="4">
        <v>53853</v>
      </c>
      <c r="N3" s="6"/>
      <c r="O3" s="3">
        <v>29471.32</v>
      </c>
      <c r="P3" s="4">
        <v>53853</v>
      </c>
      <c r="Q3" s="4">
        <v>53853</v>
      </c>
      <c r="R3" s="4">
        <v>24381.68</v>
      </c>
      <c r="S3" s="3" t="s">
        <v>41</v>
      </c>
    </row>
    <row r="4" spans="1:19" ht="14.25">
      <c r="A4" s="2">
        <v>45360</v>
      </c>
      <c r="B4" s="3">
        <v>2024</v>
      </c>
      <c r="C4" s="3" t="s">
        <v>42</v>
      </c>
      <c r="D4" s="3" t="s">
        <v>22</v>
      </c>
      <c r="E4" s="3" t="s">
        <v>43</v>
      </c>
      <c r="F4" s="3" t="s">
        <v>45</v>
      </c>
      <c r="G4" s="3" t="s">
        <v>46</v>
      </c>
      <c r="H4" s="3" t="s">
        <v>48</v>
      </c>
      <c r="I4" s="3" t="s">
        <v>49</v>
      </c>
      <c r="J4" s="3" t="s">
        <v>50</v>
      </c>
      <c r="K4" s="3" t="s">
        <v>51</v>
      </c>
      <c r="L4" s="3">
        <v>8</v>
      </c>
      <c r="M4" s="4">
        <v>111230</v>
      </c>
      <c r="N4" s="6">
        <v>0.2</v>
      </c>
      <c r="O4" s="3">
        <v>82342.64</v>
      </c>
      <c r="P4" s="4">
        <v>889840</v>
      </c>
      <c r="Q4" s="4">
        <v>711872</v>
      </c>
      <c r="R4" s="4">
        <v>53130.879999999997</v>
      </c>
      <c r="S4" s="3" t="s">
        <v>52</v>
      </c>
    </row>
    <row r="5" spans="1:19" ht="14.25">
      <c r="A5" s="2">
        <v>45407</v>
      </c>
      <c r="B5" s="3">
        <v>2024</v>
      </c>
      <c r="C5" s="3" t="s">
        <v>53</v>
      </c>
      <c r="D5" s="3" t="s">
        <v>54</v>
      </c>
      <c r="E5" s="3" t="s">
        <v>55</v>
      </c>
      <c r="F5" s="3" t="s">
        <v>56</v>
      </c>
      <c r="G5" s="3" t="s">
        <v>57</v>
      </c>
      <c r="H5" s="3" t="s">
        <v>58</v>
      </c>
      <c r="I5" s="3" t="s">
        <v>59</v>
      </c>
      <c r="J5" s="3" t="s">
        <v>60</v>
      </c>
      <c r="K5" s="3" t="s">
        <v>61</v>
      </c>
      <c r="L5" s="3">
        <v>18</v>
      </c>
      <c r="M5" s="4">
        <v>107638</v>
      </c>
      <c r="N5" s="6"/>
      <c r="O5" s="3">
        <v>56329.919999999998</v>
      </c>
      <c r="P5" s="4">
        <v>1937484</v>
      </c>
      <c r="Q5" s="4">
        <v>1937484</v>
      </c>
      <c r="R5" s="4">
        <v>923545.44</v>
      </c>
      <c r="S5" s="3" t="s">
        <v>62</v>
      </c>
    </row>
    <row r="6" spans="1:19" ht="14.25">
      <c r="A6" s="2">
        <v>45420</v>
      </c>
      <c r="B6" s="3">
        <v>2024</v>
      </c>
      <c r="C6" s="3" t="s">
        <v>63</v>
      </c>
      <c r="D6" s="3" t="s">
        <v>54</v>
      </c>
      <c r="E6" s="3" t="s">
        <v>64</v>
      </c>
      <c r="F6" s="3" t="s">
        <v>65</v>
      </c>
      <c r="G6" s="3" t="s">
        <v>66</v>
      </c>
      <c r="H6" s="3" t="s">
        <v>37</v>
      </c>
      <c r="I6" s="3" t="s">
        <v>59</v>
      </c>
      <c r="J6" s="3" t="s">
        <v>39</v>
      </c>
      <c r="K6" s="3" t="s">
        <v>67</v>
      </c>
      <c r="L6" s="3">
        <v>36</v>
      </c>
      <c r="M6" s="4">
        <v>97008</v>
      </c>
      <c r="N6" s="6">
        <v>0</v>
      </c>
      <c r="O6" s="3">
        <v>51430.42</v>
      </c>
      <c r="P6" s="4">
        <v>3492288</v>
      </c>
      <c r="Q6" s="4">
        <v>3492288</v>
      </c>
      <c r="R6" s="4">
        <v>1640792.88</v>
      </c>
      <c r="S6" s="3" t="s">
        <v>32</v>
      </c>
    </row>
    <row r="7" spans="1:19" ht="14.25">
      <c r="A7" s="2">
        <v>45454</v>
      </c>
      <c r="B7" s="3">
        <v>2024</v>
      </c>
      <c r="C7" s="3" t="s">
        <v>68</v>
      </c>
      <c r="D7" s="3" t="s">
        <v>54</v>
      </c>
      <c r="E7" s="3" t="s">
        <v>64</v>
      </c>
      <c r="F7" s="3" t="s">
        <v>24</v>
      </c>
      <c r="G7" s="3" t="s">
        <v>69</v>
      </c>
      <c r="H7" s="3" t="s">
        <v>37</v>
      </c>
      <c r="I7" s="3" t="s">
        <v>59</v>
      </c>
      <c r="J7" s="3" t="s">
        <v>39</v>
      </c>
      <c r="K7" s="3" t="s">
        <v>67</v>
      </c>
      <c r="L7" s="3">
        <v>30</v>
      </c>
      <c r="M7" s="4">
        <v>48603</v>
      </c>
      <c r="N7" s="6">
        <v>0.2</v>
      </c>
      <c r="O7" s="3">
        <v>34578.839999999997</v>
      </c>
      <c r="P7" s="4">
        <v>1458090</v>
      </c>
      <c r="Q7" s="4">
        <v>1166472</v>
      </c>
      <c r="R7" s="4">
        <v>129106.8</v>
      </c>
      <c r="S7" s="3" t="s">
        <v>70</v>
      </c>
    </row>
    <row r="8" spans="1:19" ht="14.25">
      <c r="A8" s="2">
        <v>45476</v>
      </c>
      <c r="B8" s="3">
        <v>2024</v>
      </c>
      <c r="C8" s="3" t="s">
        <v>72</v>
      </c>
      <c r="D8" s="3" t="s">
        <v>73</v>
      </c>
      <c r="E8" s="3" t="s">
        <v>43</v>
      </c>
      <c r="F8" s="3" t="s">
        <v>56</v>
      </c>
      <c r="G8" s="3" t="s">
        <v>74</v>
      </c>
      <c r="H8" s="3" t="s">
        <v>75</v>
      </c>
      <c r="I8" s="3" t="s">
        <v>59</v>
      </c>
      <c r="J8" s="3" t="s">
        <v>76</v>
      </c>
      <c r="K8" s="3" t="s">
        <v>67</v>
      </c>
      <c r="L8" s="3">
        <v>11</v>
      </c>
      <c r="M8" s="4">
        <v>122666</v>
      </c>
      <c r="N8" s="6"/>
      <c r="O8" s="3">
        <v>71583.8</v>
      </c>
      <c r="P8" s="4">
        <v>1349326</v>
      </c>
      <c r="Q8" s="4">
        <v>1241379.92</v>
      </c>
      <c r="R8" s="4">
        <v>453958.12</v>
      </c>
      <c r="S8" s="3" t="s">
        <v>70</v>
      </c>
    </row>
    <row r="9" spans="1:19" ht="14.25">
      <c r="A9" s="2">
        <v>45526</v>
      </c>
      <c r="B9" s="3">
        <v>2024</v>
      </c>
      <c r="C9" s="3" t="s">
        <v>78</v>
      </c>
      <c r="D9" s="3" t="s">
        <v>73</v>
      </c>
      <c r="E9" s="3" t="s">
        <v>79</v>
      </c>
      <c r="F9" s="3" t="s">
        <v>80</v>
      </c>
      <c r="G9" s="3" t="s">
        <v>81</v>
      </c>
      <c r="H9" s="3" t="s">
        <v>82</v>
      </c>
      <c r="I9" s="3" t="s">
        <v>59</v>
      </c>
      <c r="J9" s="3" t="s">
        <v>83</v>
      </c>
      <c r="K9" s="3" t="s">
        <v>84</v>
      </c>
      <c r="L9" s="3">
        <v>28</v>
      </c>
      <c r="M9" s="4">
        <v>12850</v>
      </c>
      <c r="N9" s="6">
        <v>0.2</v>
      </c>
      <c r="O9" s="3">
        <v>10153.57</v>
      </c>
      <c r="P9" s="4">
        <v>359800</v>
      </c>
      <c r="Q9" s="4">
        <v>287840</v>
      </c>
      <c r="R9" s="4">
        <v>3540.04</v>
      </c>
      <c r="S9" s="3" t="s">
        <v>41</v>
      </c>
    </row>
    <row r="10" spans="1:19" ht="14.25">
      <c r="A10" s="2">
        <v>45542</v>
      </c>
      <c r="B10" s="3">
        <v>2024</v>
      </c>
      <c r="C10" s="3" t="s">
        <v>85</v>
      </c>
      <c r="D10" s="3" t="s">
        <v>73</v>
      </c>
      <c r="E10" s="3" t="s">
        <v>64</v>
      </c>
      <c r="F10" s="3" t="s">
        <v>86</v>
      </c>
      <c r="G10" s="3" t="s">
        <v>87</v>
      </c>
      <c r="H10" s="3" t="s">
        <v>48</v>
      </c>
      <c r="I10" s="3" t="s">
        <v>49</v>
      </c>
      <c r="J10" s="3" t="s">
        <v>50</v>
      </c>
      <c r="K10" s="3" t="s">
        <v>40</v>
      </c>
      <c r="L10" s="3">
        <v>34</v>
      </c>
      <c r="M10" s="4">
        <v>169009</v>
      </c>
      <c r="N10" s="6">
        <v>0</v>
      </c>
      <c r="O10" s="3">
        <v>82671.38</v>
      </c>
      <c r="P10" s="4">
        <v>5746306</v>
      </c>
      <c r="Q10" s="4">
        <v>5746306</v>
      </c>
      <c r="R10" s="4">
        <v>2935479.08</v>
      </c>
      <c r="S10" s="3" t="s">
        <v>62</v>
      </c>
    </row>
    <row r="11" spans="1:19" ht="14.25">
      <c r="A11" s="2">
        <v>45568</v>
      </c>
      <c r="B11" s="3">
        <v>2024</v>
      </c>
      <c r="C11" s="3" t="s">
        <v>88</v>
      </c>
      <c r="D11" s="3" t="s">
        <v>89</v>
      </c>
      <c r="E11" s="3" t="s">
        <v>90</v>
      </c>
      <c r="F11" s="3" t="s">
        <v>91</v>
      </c>
      <c r="G11" s="3" t="s">
        <v>92</v>
      </c>
      <c r="H11" s="3" t="s">
        <v>82</v>
      </c>
      <c r="I11" s="3" t="s">
        <v>47</v>
      </c>
      <c r="J11" s="3" t="s">
        <v>83</v>
      </c>
      <c r="K11" s="3" t="s">
        <v>40</v>
      </c>
      <c r="L11" s="3">
        <v>9</v>
      </c>
      <c r="M11" s="4">
        <v>136592</v>
      </c>
      <c r="N11" s="6">
        <v>0.1</v>
      </c>
      <c r="O11" s="3">
        <v>74138.02</v>
      </c>
      <c r="P11" s="4">
        <v>1229328</v>
      </c>
      <c r="Q11" s="4">
        <v>1106395.2</v>
      </c>
      <c r="R11" s="4">
        <v>439153.02</v>
      </c>
      <c r="S11" s="3" t="s">
        <v>52</v>
      </c>
    </row>
    <row r="12" spans="1:19" ht="14.25">
      <c r="A12" s="2">
        <v>45606</v>
      </c>
      <c r="B12" s="3">
        <v>2024</v>
      </c>
      <c r="C12" s="3" t="s">
        <v>93</v>
      </c>
      <c r="D12" s="3" t="s">
        <v>89</v>
      </c>
      <c r="E12" s="3" t="s">
        <v>34</v>
      </c>
      <c r="F12" s="3" t="s">
        <v>95</v>
      </c>
      <c r="G12" s="3" t="s">
        <v>98</v>
      </c>
      <c r="H12" s="3" t="s">
        <v>37</v>
      </c>
      <c r="I12" s="3" t="s">
        <v>47</v>
      </c>
      <c r="J12" s="3" t="s">
        <v>39</v>
      </c>
      <c r="K12" s="3" t="s">
        <v>61</v>
      </c>
      <c r="L12" s="3">
        <v>34</v>
      </c>
      <c r="M12" s="4">
        <v>76986</v>
      </c>
      <c r="N12" s="6"/>
      <c r="O12" s="3">
        <v>35210.47</v>
      </c>
      <c r="P12" s="4">
        <v>2617524</v>
      </c>
      <c r="Q12" s="4">
        <v>2617524</v>
      </c>
      <c r="R12" s="4">
        <v>1420368.02</v>
      </c>
      <c r="S12" s="3" t="s">
        <v>52</v>
      </c>
    </row>
    <row r="13" spans="1:19" ht="14.25">
      <c r="A13" s="2">
        <v>45628</v>
      </c>
      <c r="B13" s="3">
        <v>2024</v>
      </c>
      <c r="C13" s="3" t="s">
        <v>99</v>
      </c>
      <c r="D13" s="3" t="s">
        <v>89</v>
      </c>
      <c r="E13" s="3" t="s">
        <v>43</v>
      </c>
      <c r="F13" s="3" t="s">
        <v>86</v>
      </c>
      <c r="G13" s="3" t="s">
        <v>100</v>
      </c>
      <c r="H13" s="3" t="s">
        <v>82</v>
      </c>
      <c r="I13" s="3" t="s">
        <v>38</v>
      </c>
      <c r="J13" s="3" t="s">
        <v>83</v>
      </c>
      <c r="K13" s="3" t="s">
        <v>29</v>
      </c>
      <c r="L13" s="3">
        <v>18</v>
      </c>
      <c r="M13" s="4">
        <v>68160</v>
      </c>
      <c r="N13" s="6">
        <v>0.12</v>
      </c>
      <c r="O13" s="3">
        <v>36468.94</v>
      </c>
      <c r="P13" s="4">
        <v>1226880</v>
      </c>
      <c r="Q13" s="4">
        <v>1079654.3999999999</v>
      </c>
      <c r="R13" s="4">
        <v>423213.48</v>
      </c>
      <c r="S13" s="3" t="s">
        <v>70</v>
      </c>
    </row>
    <row r="14" spans="1:19" ht="14.25">
      <c r="A14" s="2">
        <v>45306</v>
      </c>
      <c r="B14" s="3">
        <v>2024</v>
      </c>
      <c r="C14" s="3" t="s">
        <v>21</v>
      </c>
      <c r="D14" s="3" t="s">
        <v>22</v>
      </c>
      <c r="E14" s="3" t="s">
        <v>43</v>
      </c>
      <c r="F14" s="3" t="s">
        <v>101</v>
      </c>
      <c r="G14" s="3" t="s">
        <v>57</v>
      </c>
      <c r="H14" s="3" t="s">
        <v>102</v>
      </c>
      <c r="I14" s="3" t="s">
        <v>103</v>
      </c>
      <c r="J14" s="3" t="s">
        <v>104</v>
      </c>
      <c r="K14" s="3" t="s">
        <v>105</v>
      </c>
      <c r="L14" s="3">
        <v>26</v>
      </c>
      <c r="M14" s="4">
        <v>40644</v>
      </c>
      <c r="N14" s="6">
        <v>0.15</v>
      </c>
      <c r="O14" s="3">
        <v>25918.68</v>
      </c>
      <c r="P14" s="4">
        <v>1056744</v>
      </c>
      <c r="Q14" s="4">
        <v>898232.4</v>
      </c>
      <c r="R14" s="4">
        <v>224346.72</v>
      </c>
      <c r="S14" s="3" t="s">
        <v>41</v>
      </c>
    </row>
    <row r="15" spans="1:19" ht="14.25">
      <c r="A15" s="2">
        <v>45326</v>
      </c>
      <c r="B15" s="3">
        <v>2024</v>
      </c>
      <c r="C15" s="3" t="s">
        <v>33</v>
      </c>
      <c r="D15" s="3" t="s">
        <v>22</v>
      </c>
      <c r="E15" s="3" t="s">
        <v>23</v>
      </c>
      <c r="F15" s="3" t="s">
        <v>95</v>
      </c>
      <c r="G15" s="3" t="s">
        <v>106</v>
      </c>
      <c r="H15" s="3" t="s">
        <v>108</v>
      </c>
      <c r="I15" s="3" t="s">
        <v>38</v>
      </c>
      <c r="J15" s="3" t="s">
        <v>110</v>
      </c>
      <c r="K15" s="3" t="s">
        <v>105</v>
      </c>
      <c r="L15" s="3">
        <v>16</v>
      </c>
      <c r="M15" s="4">
        <v>139307</v>
      </c>
      <c r="N15" s="6">
        <v>0.08</v>
      </c>
      <c r="O15" s="3">
        <v>106688.96000000001</v>
      </c>
      <c r="P15" s="4">
        <v>2228912</v>
      </c>
      <c r="Q15" s="4">
        <v>2050599.04</v>
      </c>
      <c r="R15" s="4">
        <v>343575.68</v>
      </c>
      <c r="S15" s="3" t="s">
        <v>41</v>
      </c>
    </row>
    <row r="16" spans="1:19" ht="14.25">
      <c r="A16" s="2">
        <v>45365</v>
      </c>
      <c r="B16" s="3">
        <v>2024</v>
      </c>
      <c r="C16" s="3" t="s">
        <v>42</v>
      </c>
      <c r="D16" s="3" t="s">
        <v>22</v>
      </c>
      <c r="E16" s="3" t="s">
        <v>90</v>
      </c>
      <c r="F16" s="3" t="s">
        <v>95</v>
      </c>
      <c r="G16" s="3" t="s">
        <v>111</v>
      </c>
      <c r="H16" s="3" t="s">
        <v>112</v>
      </c>
      <c r="I16" s="3" t="s">
        <v>113</v>
      </c>
      <c r="J16" s="3" t="s">
        <v>114</v>
      </c>
      <c r="K16" s="3" t="s">
        <v>29</v>
      </c>
      <c r="L16" s="3">
        <v>13</v>
      </c>
      <c r="M16" s="4">
        <v>27331</v>
      </c>
      <c r="N16" s="6">
        <v>0</v>
      </c>
      <c r="O16" s="3">
        <v>19453.97</v>
      </c>
      <c r="P16" s="4">
        <v>355303</v>
      </c>
      <c r="Q16" s="4">
        <v>355303</v>
      </c>
      <c r="R16" s="4">
        <v>102401.39</v>
      </c>
      <c r="S16" s="3" t="s">
        <v>32</v>
      </c>
    </row>
    <row r="17" spans="1:19" ht="14.25">
      <c r="A17" s="2">
        <v>45385</v>
      </c>
      <c r="B17" s="3">
        <v>2024</v>
      </c>
      <c r="C17" s="3" t="s">
        <v>53</v>
      </c>
      <c r="D17" s="3" t="s">
        <v>54</v>
      </c>
      <c r="E17" s="3" t="s">
        <v>43</v>
      </c>
      <c r="F17" s="3" t="s">
        <v>115</v>
      </c>
      <c r="G17" s="3" t="s">
        <v>116</v>
      </c>
      <c r="H17" s="3" t="s">
        <v>108</v>
      </c>
      <c r="I17" s="3" t="s">
        <v>59</v>
      </c>
      <c r="J17" s="3" t="s">
        <v>110</v>
      </c>
      <c r="K17" s="3" t="s">
        <v>67</v>
      </c>
      <c r="L17" s="3">
        <v>16</v>
      </c>
      <c r="M17" s="4">
        <v>161336</v>
      </c>
      <c r="N17" s="6">
        <v>0</v>
      </c>
      <c r="O17" s="3">
        <v>107576.19</v>
      </c>
      <c r="P17" s="4">
        <v>2581376</v>
      </c>
      <c r="Q17" s="4">
        <v>2581376</v>
      </c>
      <c r="R17" s="4">
        <v>860156.96</v>
      </c>
      <c r="S17" s="3" t="s">
        <v>70</v>
      </c>
    </row>
    <row r="18" spans="1:19" ht="14.25">
      <c r="A18" s="2">
        <v>45423</v>
      </c>
      <c r="B18" s="3">
        <v>2024</v>
      </c>
      <c r="C18" s="3" t="s">
        <v>63</v>
      </c>
      <c r="D18" s="3" t="s">
        <v>54</v>
      </c>
      <c r="E18" s="3" t="s">
        <v>64</v>
      </c>
      <c r="F18" s="3" t="s">
        <v>80</v>
      </c>
      <c r="G18" s="3" t="s">
        <v>119</v>
      </c>
      <c r="H18" s="3" t="s">
        <v>37</v>
      </c>
      <c r="I18" s="3" t="s">
        <v>47</v>
      </c>
      <c r="J18" s="3" t="s">
        <v>39</v>
      </c>
      <c r="K18" s="3" t="s">
        <v>67</v>
      </c>
      <c r="L18" s="3">
        <v>20</v>
      </c>
      <c r="M18" s="4">
        <v>124064</v>
      </c>
      <c r="N18" s="6">
        <v>0.05</v>
      </c>
      <c r="O18" s="3">
        <v>59009.96</v>
      </c>
      <c r="P18" s="4">
        <v>2481280</v>
      </c>
      <c r="Q18" s="4">
        <v>2357216</v>
      </c>
      <c r="R18" s="4">
        <v>1177016.8</v>
      </c>
      <c r="S18" s="3" t="s">
        <v>41</v>
      </c>
    </row>
    <row r="19" spans="1:19" ht="14.25">
      <c r="A19" s="2">
        <v>45453</v>
      </c>
      <c r="B19" s="3">
        <v>2024</v>
      </c>
      <c r="C19" s="3" t="s">
        <v>68</v>
      </c>
      <c r="D19" s="3" t="s">
        <v>54</v>
      </c>
      <c r="E19" s="3" t="s">
        <v>64</v>
      </c>
      <c r="F19" s="3" t="s">
        <v>65</v>
      </c>
      <c r="G19" s="3" t="s">
        <v>121</v>
      </c>
      <c r="H19" s="3" t="s">
        <v>120</v>
      </c>
      <c r="I19" s="3" t="s">
        <v>122</v>
      </c>
      <c r="J19" s="3" t="s">
        <v>114</v>
      </c>
      <c r="K19" s="3" t="s">
        <v>105</v>
      </c>
      <c r="L19" s="3">
        <v>36</v>
      </c>
      <c r="M19" s="4">
        <v>39154</v>
      </c>
      <c r="N19" s="6">
        <v>0.1</v>
      </c>
      <c r="O19" s="3">
        <v>21243.51</v>
      </c>
      <c r="P19" s="4">
        <v>1409544</v>
      </c>
      <c r="Q19" s="4">
        <v>1268589.6000000001</v>
      </c>
      <c r="R19" s="4">
        <v>503823.24</v>
      </c>
      <c r="S19" s="3" t="s">
        <v>32</v>
      </c>
    </row>
    <row r="20" spans="1:19" ht="14.25">
      <c r="A20" s="2">
        <v>45495</v>
      </c>
      <c r="B20" s="3">
        <v>2024</v>
      </c>
      <c r="C20" s="3" t="s">
        <v>72</v>
      </c>
      <c r="D20" s="3" t="s">
        <v>73</v>
      </c>
      <c r="E20" s="3" t="s">
        <v>90</v>
      </c>
      <c r="F20" s="3" t="s">
        <v>80</v>
      </c>
      <c r="G20" s="3" t="s">
        <v>123</v>
      </c>
      <c r="H20" s="3" t="s">
        <v>58</v>
      </c>
      <c r="I20" s="3" t="s">
        <v>38</v>
      </c>
      <c r="J20" s="3" t="s">
        <v>60</v>
      </c>
      <c r="K20" s="3" t="s">
        <v>40</v>
      </c>
      <c r="L20" s="3">
        <v>4</v>
      </c>
      <c r="M20" s="4">
        <v>123037</v>
      </c>
      <c r="N20" s="6">
        <v>0</v>
      </c>
      <c r="O20" s="3">
        <v>55519.34</v>
      </c>
      <c r="P20" s="4">
        <v>492148</v>
      </c>
      <c r="Q20" s="4">
        <v>492148</v>
      </c>
      <c r="R20" s="4">
        <v>270070.64</v>
      </c>
      <c r="S20" s="3" t="s">
        <v>41</v>
      </c>
    </row>
    <row r="21" spans="1:19" ht="15.75" customHeight="1">
      <c r="A21" s="2">
        <v>45505</v>
      </c>
      <c r="B21" s="3">
        <v>2024</v>
      </c>
      <c r="C21" s="3" t="s">
        <v>78</v>
      </c>
      <c r="D21" s="3" t="s">
        <v>73</v>
      </c>
      <c r="E21" s="3" t="s">
        <v>23</v>
      </c>
      <c r="F21" s="3" t="s">
        <v>45</v>
      </c>
      <c r="G21" s="3" t="s">
        <v>74</v>
      </c>
      <c r="H21" s="3" t="s">
        <v>108</v>
      </c>
      <c r="I21" s="3" t="s">
        <v>38</v>
      </c>
      <c r="J21" s="3" t="s">
        <v>110</v>
      </c>
      <c r="K21" s="3" t="s">
        <v>51</v>
      </c>
      <c r="L21" s="3">
        <v>3</v>
      </c>
      <c r="M21" s="4">
        <v>164701</v>
      </c>
      <c r="N21" s="6">
        <v>0.08</v>
      </c>
      <c r="O21" s="3">
        <v>81462.09</v>
      </c>
      <c r="P21" s="4">
        <v>494103</v>
      </c>
      <c r="Q21" s="4">
        <v>454574.76</v>
      </c>
      <c r="R21" s="4">
        <v>210188.49</v>
      </c>
      <c r="S21" s="3" t="s">
        <v>62</v>
      </c>
    </row>
    <row r="22" spans="1:19" ht="15.75" customHeight="1">
      <c r="A22" s="2">
        <v>45557</v>
      </c>
      <c r="B22" s="3">
        <v>2024</v>
      </c>
      <c r="C22" s="3" t="s">
        <v>85</v>
      </c>
      <c r="D22" s="3" t="s">
        <v>73</v>
      </c>
      <c r="E22" s="3" t="s">
        <v>64</v>
      </c>
      <c r="F22" s="3" t="s">
        <v>101</v>
      </c>
      <c r="G22" s="3" t="s">
        <v>127</v>
      </c>
      <c r="H22" s="3" t="s">
        <v>58</v>
      </c>
      <c r="I22" s="3" t="s">
        <v>47</v>
      </c>
      <c r="J22" s="3" t="s">
        <v>60</v>
      </c>
      <c r="K22" s="3" t="s">
        <v>40</v>
      </c>
      <c r="L22" s="3">
        <v>36</v>
      </c>
      <c r="M22" s="4">
        <v>118529</v>
      </c>
      <c r="N22" s="6">
        <v>0.1</v>
      </c>
      <c r="O22" s="3">
        <v>91743.5</v>
      </c>
      <c r="P22" s="4">
        <v>4267044</v>
      </c>
      <c r="Q22" s="4">
        <v>3840339.6</v>
      </c>
      <c r="R22" s="4">
        <v>537573.6</v>
      </c>
      <c r="S22" s="3" t="s">
        <v>41</v>
      </c>
    </row>
    <row r="23" spans="1:19" ht="15.75" customHeight="1">
      <c r="A23" s="2">
        <v>45589</v>
      </c>
      <c r="B23" s="3">
        <v>2024</v>
      </c>
      <c r="C23" s="3" t="s">
        <v>88</v>
      </c>
      <c r="D23" s="3" t="s">
        <v>89</v>
      </c>
      <c r="E23" s="3" t="s">
        <v>55</v>
      </c>
      <c r="F23" s="3" t="s">
        <v>91</v>
      </c>
      <c r="G23" s="3" t="s">
        <v>66</v>
      </c>
      <c r="H23" s="3" t="s">
        <v>96</v>
      </c>
      <c r="I23" s="3" t="s">
        <v>59</v>
      </c>
      <c r="J23" s="3" t="s">
        <v>83</v>
      </c>
      <c r="K23" s="3" t="s">
        <v>29</v>
      </c>
      <c r="L23" s="3">
        <v>7</v>
      </c>
      <c r="M23" s="4">
        <v>22151</v>
      </c>
      <c r="N23" s="6">
        <v>0.15</v>
      </c>
      <c r="O23" s="3">
        <v>11515.21</v>
      </c>
      <c r="P23" s="4">
        <v>155057</v>
      </c>
      <c r="Q23" s="4">
        <v>131798.45000000001</v>
      </c>
      <c r="R23" s="4">
        <v>51191.98</v>
      </c>
      <c r="S23" s="3" t="s">
        <v>70</v>
      </c>
    </row>
    <row r="24" spans="1:19" ht="15.75" customHeight="1">
      <c r="A24" s="2">
        <v>45609</v>
      </c>
      <c r="B24" s="3">
        <v>2024</v>
      </c>
      <c r="C24" s="3" t="s">
        <v>93</v>
      </c>
      <c r="D24" s="3" t="s">
        <v>89</v>
      </c>
      <c r="E24" s="3" t="s">
        <v>55</v>
      </c>
      <c r="F24" s="3" t="s">
        <v>86</v>
      </c>
      <c r="G24" s="3" t="s">
        <v>36</v>
      </c>
      <c r="H24" s="3" t="s">
        <v>58</v>
      </c>
      <c r="I24" s="3" t="s">
        <v>38</v>
      </c>
      <c r="J24" s="3" t="s">
        <v>60</v>
      </c>
      <c r="K24" s="3" t="s">
        <v>84</v>
      </c>
      <c r="L24" s="3">
        <v>33</v>
      </c>
      <c r="M24" s="4">
        <v>152565</v>
      </c>
      <c r="N24" s="6">
        <v>0</v>
      </c>
      <c r="O24" s="3">
        <v>74813.240000000005</v>
      </c>
      <c r="P24" s="4">
        <v>5034645</v>
      </c>
      <c r="Q24" s="4">
        <v>5034645</v>
      </c>
      <c r="R24" s="4">
        <v>2565808.08</v>
      </c>
      <c r="S24" s="3" t="s">
        <v>62</v>
      </c>
    </row>
    <row r="25" spans="1:19" ht="15.75" customHeight="1">
      <c r="A25" s="2">
        <v>45650</v>
      </c>
      <c r="B25" s="3">
        <v>2024</v>
      </c>
      <c r="C25" s="3" t="s">
        <v>99</v>
      </c>
      <c r="D25" s="3" t="s">
        <v>89</v>
      </c>
      <c r="E25" s="3" t="s">
        <v>43</v>
      </c>
      <c r="F25" s="3" t="s">
        <v>80</v>
      </c>
      <c r="G25" s="3" t="s">
        <v>100</v>
      </c>
      <c r="H25" s="3" t="s">
        <v>120</v>
      </c>
      <c r="I25" s="3" t="s">
        <v>122</v>
      </c>
      <c r="J25" s="3" t="s">
        <v>114</v>
      </c>
      <c r="K25" s="3" t="s">
        <v>105</v>
      </c>
      <c r="L25" s="3">
        <v>25</v>
      </c>
      <c r="M25" s="4">
        <v>61828</v>
      </c>
      <c r="N25" s="6">
        <v>0.08</v>
      </c>
      <c r="O25" s="3">
        <v>27859.200000000001</v>
      </c>
      <c r="P25" s="4">
        <v>1545700</v>
      </c>
      <c r="Q25" s="4">
        <v>1422044</v>
      </c>
      <c r="R25" s="4">
        <v>725564</v>
      </c>
      <c r="S25" s="3" t="s">
        <v>52</v>
      </c>
    </row>
    <row r="26" spans="1:19" ht="15.75" customHeight="1">
      <c r="A26" s="2">
        <v>45313</v>
      </c>
      <c r="B26" s="3">
        <v>2024</v>
      </c>
      <c r="C26" s="3" t="s">
        <v>21</v>
      </c>
      <c r="D26" s="3" t="s">
        <v>22</v>
      </c>
      <c r="E26" s="3" t="s">
        <v>55</v>
      </c>
      <c r="F26" s="3" t="s">
        <v>130</v>
      </c>
      <c r="G26" s="3" t="s">
        <v>131</v>
      </c>
      <c r="H26" s="3" t="s">
        <v>82</v>
      </c>
      <c r="I26" s="3" t="s">
        <v>59</v>
      </c>
      <c r="J26" s="3" t="s">
        <v>83</v>
      </c>
      <c r="K26" s="3" t="s">
        <v>67</v>
      </c>
      <c r="L26" s="3">
        <v>20</v>
      </c>
      <c r="M26" s="4">
        <v>119057</v>
      </c>
      <c r="N26" s="6">
        <v>0.2</v>
      </c>
      <c r="O26" s="3">
        <v>76677.990000000005</v>
      </c>
      <c r="P26" s="4">
        <v>2381140</v>
      </c>
      <c r="Q26" s="4">
        <v>1904912</v>
      </c>
      <c r="R26" s="4">
        <v>371352.2</v>
      </c>
      <c r="S26" s="3" t="s">
        <v>41</v>
      </c>
    </row>
    <row r="27" spans="1:19" ht="15.75" customHeight="1">
      <c r="A27" s="2">
        <v>45332</v>
      </c>
      <c r="B27" s="3">
        <v>2024</v>
      </c>
      <c r="C27" s="3" t="s">
        <v>33</v>
      </c>
      <c r="D27" s="3" t="s">
        <v>22</v>
      </c>
      <c r="E27" s="3" t="s">
        <v>34</v>
      </c>
      <c r="F27" s="3" t="s">
        <v>132</v>
      </c>
      <c r="G27" s="3" t="s">
        <v>133</v>
      </c>
      <c r="H27" s="3" t="s">
        <v>48</v>
      </c>
      <c r="I27" s="3" t="s">
        <v>49</v>
      </c>
      <c r="J27" s="3" t="s">
        <v>50</v>
      </c>
      <c r="K27" s="3" t="s">
        <v>84</v>
      </c>
      <c r="L27" s="3">
        <v>14</v>
      </c>
      <c r="M27" s="4">
        <v>164039</v>
      </c>
      <c r="N27" s="6"/>
      <c r="O27" s="3">
        <v>100514.22</v>
      </c>
      <c r="P27" s="4">
        <v>2296546</v>
      </c>
      <c r="Q27" s="4">
        <v>2296546</v>
      </c>
      <c r="R27" s="4">
        <v>889346.92</v>
      </c>
      <c r="S27" s="3" t="s">
        <v>70</v>
      </c>
    </row>
    <row r="28" spans="1:19" ht="15.75" customHeight="1">
      <c r="A28" s="2">
        <v>45373</v>
      </c>
      <c r="B28" s="3">
        <v>2024</v>
      </c>
      <c r="C28" s="3" t="s">
        <v>42</v>
      </c>
      <c r="D28" s="3" t="s">
        <v>22</v>
      </c>
      <c r="E28" s="3" t="s">
        <v>23</v>
      </c>
      <c r="F28" s="3" t="s">
        <v>80</v>
      </c>
      <c r="G28" s="3" t="s">
        <v>134</v>
      </c>
      <c r="H28" s="3" t="s">
        <v>96</v>
      </c>
      <c r="I28" s="3" t="s">
        <v>59</v>
      </c>
      <c r="J28" s="3" t="s">
        <v>83</v>
      </c>
      <c r="K28" s="3" t="s">
        <v>40</v>
      </c>
      <c r="L28" s="3">
        <v>16</v>
      </c>
      <c r="M28" s="4">
        <v>70888</v>
      </c>
      <c r="N28" s="6">
        <v>0.1</v>
      </c>
      <c r="O28" s="3">
        <v>32505.61</v>
      </c>
      <c r="P28" s="4">
        <v>1134208</v>
      </c>
      <c r="Q28" s="4">
        <v>1020787.2</v>
      </c>
      <c r="R28" s="4">
        <v>500697.44</v>
      </c>
      <c r="S28" s="3" t="s">
        <v>41</v>
      </c>
    </row>
    <row r="29" spans="1:19" ht="15.75" customHeight="1">
      <c r="A29" s="2">
        <v>45389</v>
      </c>
      <c r="B29" s="3">
        <v>2024</v>
      </c>
      <c r="C29" s="3" t="s">
        <v>53</v>
      </c>
      <c r="D29" s="3" t="s">
        <v>54</v>
      </c>
      <c r="E29" s="3" t="s">
        <v>90</v>
      </c>
      <c r="F29" s="3" t="s">
        <v>24</v>
      </c>
      <c r="G29" s="3" t="s">
        <v>137</v>
      </c>
      <c r="H29" s="3" t="s">
        <v>48</v>
      </c>
      <c r="I29" s="3" t="s">
        <v>124</v>
      </c>
      <c r="J29" s="3" t="s">
        <v>50</v>
      </c>
      <c r="K29" s="3" t="s">
        <v>61</v>
      </c>
      <c r="L29" s="3">
        <v>16</v>
      </c>
      <c r="M29" s="4">
        <v>13453</v>
      </c>
      <c r="N29" s="6">
        <v>0.05</v>
      </c>
      <c r="O29" s="3">
        <v>9719.08</v>
      </c>
      <c r="P29" s="4">
        <v>215248</v>
      </c>
      <c r="Q29" s="4">
        <v>204485.6</v>
      </c>
      <c r="R29" s="4">
        <v>48980.32</v>
      </c>
      <c r="S29" s="3" t="s">
        <v>41</v>
      </c>
    </row>
    <row r="30" spans="1:19" ht="15.75" customHeight="1">
      <c r="A30" s="2">
        <v>45427</v>
      </c>
      <c r="B30" s="3">
        <v>2024</v>
      </c>
      <c r="C30" s="3" t="s">
        <v>63</v>
      </c>
      <c r="D30" s="3" t="s">
        <v>54</v>
      </c>
      <c r="E30" s="3" t="s">
        <v>64</v>
      </c>
      <c r="F30" s="3" t="s">
        <v>65</v>
      </c>
      <c r="G30" s="3" t="s">
        <v>138</v>
      </c>
      <c r="H30" s="3" t="s">
        <v>82</v>
      </c>
      <c r="I30" s="3" t="s">
        <v>59</v>
      </c>
      <c r="J30" s="3" t="s">
        <v>83</v>
      </c>
      <c r="K30" s="3" t="s">
        <v>51</v>
      </c>
      <c r="L30" s="3">
        <v>33</v>
      </c>
      <c r="M30" s="4">
        <v>155621</v>
      </c>
      <c r="N30" s="6">
        <v>0.1</v>
      </c>
      <c r="O30" s="3">
        <v>110534.39</v>
      </c>
      <c r="P30" s="4">
        <v>5135493</v>
      </c>
      <c r="Q30" s="4">
        <v>4621943.7</v>
      </c>
      <c r="R30" s="4">
        <v>974308.83</v>
      </c>
      <c r="S30" s="3" t="s">
        <v>70</v>
      </c>
    </row>
    <row r="31" spans="1:19" ht="15.75" customHeight="1">
      <c r="A31" s="2">
        <v>45464</v>
      </c>
      <c r="B31" s="3">
        <v>2024</v>
      </c>
      <c r="C31" s="3" t="s">
        <v>68</v>
      </c>
      <c r="D31" s="3" t="s">
        <v>54</v>
      </c>
      <c r="E31" s="3" t="s">
        <v>64</v>
      </c>
      <c r="F31" s="3" t="s">
        <v>80</v>
      </c>
      <c r="G31" s="3" t="s">
        <v>139</v>
      </c>
      <c r="H31" s="3" t="s">
        <v>75</v>
      </c>
      <c r="I31" s="3" t="s">
        <v>38</v>
      </c>
      <c r="J31" s="3" t="s">
        <v>76</v>
      </c>
      <c r="K31" s="3" t="s">
        <v>67</v>
      </c>
      <c r="L31" s="3">
        <v>19</v>
      </c>
      <c r="M31" s="4">
        <v>100040</v>
      </c>
      <c r="N31" s="6">
        <v>0.05</v>
      </c>
      <c r="O31" s="3">
        <v>49863.03</v>
      </c>
      <c r="P31" s="4">
        <v>1900760</v>
      </c>
      <c r="Q31" s="4">
        <v>1805722</v>
      </c>
      <c r="R31" s="4">
        <v>858324.43</v>
      </c>
      <c r="S31" s="3" t="s">
        <v>41</v>
      </c>
    </row>
    <row r="32" spans="1:19" ht="15.75" customHeight="1">
      <c r="A32" s="2">
        <v>45488</v>
      </c>
      <c r="B32" s="3">
        <v>2024</v>
      </c>
      <c r="C32" s="3" t="s">
        <v>72</v>
      </c>
      <c r="D32" s="3" t="s">
        <v>73</v>
      </c>
      <c r="E32" s="3" t="s">
        <v>34</v>
      </c>
      <c r="F32" s="3" t="s">
        <v>56</v>
      </c>
      <c r="G32" s="3" t="s">
        <v>142</v>
      </c>
      <c r="H32" s="3" t="s">
        <v>108</v>
      </c>
      <c r="I32" s="3" t="s">
        <v>59</v>
      </c>
      <c r="J32" s="3" t="s">
        <v>110</v>
      </c>
      <c r="K32" s="3" t="s">
        <v>61</v>
      </c>
      <c r="L32" s="3">
        <v>38</v>
      </c>
      <c r="M32" s="4">
        <v>17120</v>
      </c>
      <c r="N32" s="6">
        <v>0.08</v>
      </c>
      <c r="O32" s="3">
        <v>10562.06</v>
      </c>
      <c r="P32" s="4">
        <v>650560</v>
      </c>
      <c r="Q32" s="4">
        <v>598515.19999999995</v>
      </c>
      <c r="R32" s="4">
        <v>197156.92</v>
      </c>
      <c r="S32" s="3" t="s">
        <v>62</v>
      </c>
    </row>
    <row r="33" spans="1:19" ht="15.75" customHeight="1">
      <c r="A33" s="2">
        <v>45528</v>
      </c>
      <c r="B33" s="3">
        <v>2024</v>
      </c>
      <c r="C33" s="3" t="s">
        <v>78</v>
      </c>
      <c r="D33" s="3" t="s">
        <v>73</v>
      </c>
      <c r="E33" s="3" t="s">
        <v>79</v>
      </c>
      <c r="F33" s="3" t="s">
        <v>132</v>
      </c>
      <c r="G33" s="3" t="s">
        <v>111</v>
      </c>
      <c r="H33" s="3" t="s">
        <v>37</v>
      </c>
      <c r="I33" s="3" t="s">
        <v>59</v>
      </c>
      <c r="J33" s="3" t="s">
        <v>39</v>
      </c>
      <c r="K33" s="3" t="s">
        <v>29</v>
      </c>
      <c r="L33" s="3">
        <v>18</v>
      </c>
      <c r="M33" s="4">
        <v>19608</v>
      </c>
      <c r="N33" s="6">
        <v>0.08</v>
      </c>
      <c r="O33" s="3">
        <v>13793.51</v>
      </c>
      <c r="P33" s="4">
        <v>352944</v>
      </c>
      <c r="Q33" s="4">
        <v>324708.47999999998</v>
      </c>
      <c r="R33" s="4">
        <v>76425.3</v>
      </c>
      <c r="S33" s="3" t="s">
        <v>70</v>
      </c>
    </row>
    <row r="34" spans="1:19" ht="15.75" customHeight="1">
      <c r="A34" s="2">
        <v>45557</v>
      </c>
      <c r="B34" s="3">
        <v>2024</v>
      </c>
      <c r="C34" s="3" t="s">
        <v>85</v>
      </c>
      <c r="D34" s="3" t="s">
        <v>73</v>
      </c>
      <c r="E34" s="3" t="s">
        <v>23</v>
      </c>
      <c r="F34" s="3" t="s">
        <v>45</v>
      </c>
      <c r="G34" s="3" t="s">
        <v>144</v>
      </c>
      <c r="H34" s="3" t="s">
        <v>48</v>
      </c>
      <c r="I34" s="3" t="s">
        <v>103</v>
      </c>
      <c r="J34" s="3" t="s">
        <v>50</v>
      </c>
      <c r="K34" s="3" t="s">
        <v>29</v>
      </c>
      <c r="L34" s="3">
        <v>30</v>
      </c>
      <c r="M34" s="4">
        <v>80198</v>
      </c>
      <c r="N34" s="6">
        <v>0.15</v>
      </c>
      <c r="O34" s="3">
        <v>48852.19</v>
      </c>
      <c r="P34" s="4">
        <v>2405940</v>
      </c>
      <c r="Q34" s="4">
        <v>2045049</v>
      </c>
      <c r="R34" s="4">
        <v>579483.30000000005</v>
      </c>
      <c r="S34" s="3" t="s">
        <v>62</v>
      </c>
    </row>
    <row r="35" spans="1:19" ht="15.75" customHeight="1">
      <c r="A35" s="2">
        <v>45581</v>
      </c>
      <c r="B35" s="3">
        <v>2024</v>
      </c>
      <c r="C35" s="3" t="s">
        <v>88</v>
      </c>
      <c r="D35" s="3" t="s">
        <v>89</v>
      </c>
      <c r="E35" s="3" t="s">
        <v>23</v>
      </c>
      <c r="F35" s="3" t="s">
        <v>95</v>
      </c>
      <c r="G35" s="3" t="s">
        <v>145</v>
      </c>
      <c r="H35" s="3" t="s">
        <v>82</v>
      </c>
      <c r="I35" s="3" t="s">
        <v>47</v>
      </c>
      <c r="J35" s="3" t="s">
        <v>83</v>
      </c>
      <c r="K35" s="3" t="s">
        <v>84</v>
      </c>
      <c r="L35" s="3">
        <v>15</v>
      </c>
      <c r="M35" s="4">
        <v>22553</v>
      </c>
      <c r="N35" s="6">
        <v>0.15</v>
      </c>
      <c r="O35" s="3">
        <v>11722.51</v>
      </c>
      <c r="P35" s="4">
        <v>338295</v>
      </c>
      <c r="Q35" s="4">
        <v>287550.75</v>
      </c>
      <c r="R35" s="4">
        <v>111713.1</v>
      </c>
      <c r="S35" s="3" t="s">
        <v>32</v>
      </c>
    </row>
    <row r="36" spans="1:19" ht="15.75" customHeight="1">
      <c r="A36" s="2">
        <v>45619</v>
      </c>
      <c r="B36" s="3">
        <v>2024</v>
      </c>
      <c r="C36" s="3" t="s">
        <v>93</v>
      </c>
      <c r="D36" s="3" t="s">
        <v>89</v>
      </c>
      <c r="E36" s="3" t="s">
        <v>55</v>
      </c>
      <c r="F36" s="3" t="s">
        <v>86</v>
      </c>
      <c r="G36" s="3" t="s">
        <v>81</v>
      </c>
      <c r="H36" s="3" t="s">
        <v>75</v>
      </c>
      <c r="I36" s="3" t="s">
        <v>59</v>
      </c>
      <c r="J36" s="3" t="s">
        <v>76</v>
      </c>
      <c r="K36" s="3" t="s">
        <v>40</v>
      </c>
      <c r="L36" s="3">
        <v>11</v>
      </c>
      <c r="M36" s="4">
        <v>40337</v>
      </c>
      <c r="N36" s="6">
        <v>0.2</v>
      </c>
      <c r="O36" s="3">
        <v>26280.720000000001</v>
      </c>
      <c r="P36" s="4">
        <v>443707</v>
      </c>
      <c r="Q36" s="4">
        <v>354965.6</v>
      </c>
      <c r="R36" s="4">
        <v>65877.679999999993</v>
      </c>
      <c r="S36" s="3" t="s">
        <v>70</v>
      </c>
    </row>
    <row r="37" spans="1:19" ht="15.75" customHeight="1">
      <c r="A37" s="2">
        <v>45630</v>
      </c>
      <c r="B37" s="3">
        <v>2024</v>
      </c>
      <c r="C37" s="3" t="s">
        <v>99</v>
      </c>
      <c r="D37" s="3" t="s">
        <v>89</v>
      </c>
      <c r="E37" s="3" t="s">
        <v>90</v>
      </c>
      <c r="F37" s="3" t="s">
        <v>86</v>
      </c>
      <c r="G37" s="3" t="s">
        <v>146</v>
      </c>
      <c r="H37" s="3" t="s">
        <v>58</v>
      </c>
      <c r="I37" s="3" t="s">
        <v>38</v>
      </c>
      <c r="J37" s="3" t="s">
        <v>60</v>
      </c>
      <c r="K37" s="3" t="s">
        <v>84</v>
      </c>
      <c r="L37" s="3">
        <v>35</v>
      </c>
      <c r="M37" s="4">
        <v>109142</v>
      </c>
      <c r="N37" s="6"/>
      <c r="O37" s="3">
        <v>49597.21</v>
      </c>
      <c r="P37" s="4">
        <v>3819970</v>
      </c>
      <c r="Q37" s="4">
        <v>3819970</v>
      </c>
      <c r="R37" s="4">
        <v>2084067.65</v>
      </c>
      <c r="S37" s="3" t="s">
        <v>70</v>
      </c>
    </row>
    <row r="38" spans="1:19" ht="15.75" customHeight="1">
      <c r="A38" s="2">
        <v>45296</v>
      </c>
      <c r="B38" s="3">
        <v>2024</v>
      </c>
      <c r="C38" s="3" t="s">
        <v>21</v>
      </c>
      <c r="D38" s="3" t="s">
        <v>22</v>
      </c>
      <c r="E38" s="3" t="s">
        <v>34</v>
      </c>
      <c r="F38" s="3" t="s">
        <v>147</v>
      </c>
      <c r="G38" s="3" t="s">
        <v>148</v>
      </c>
      <c r="H38" s="3" t="s">
        <v>37</v>
      </c>
      <c r="I38" s="3" t="s">
        <v>38</v>
      </c>
      <c r="J38" s="3" t="s">
        <v>39</v>
      </c>
      <c r="K38" s="3" t="s">
        <v>67</v>
      </c>
      <c r="L38" s="3">
        <v>18</v>
      </c>
      <c r="M38" s="4">
        <v>153078</v>
      </c>
      <c r="N38" s="6">
        <v>0.12</v>
      </c>
      <c r="O38" s="3">
        <v>92222.01</v>
      </c>
      <c r="P38" s="4">
        <v>2755404</v>
      </c>
      <c r="Q38" s="4">
        <v>2424755.52</v>
      </c>
      <c r="R38" s="4">
        <v>764759.34</v>
      </c>
      <c r="S38" s="3" t="s">
        <v>149</v>
      </c>
    </row>
    <row r="39" spans="1:19" ht="15.75" customHeight="1">
      <c r="A39" s="2">
        <v>45330</v>
      </c>
      <c r="B39" s="3">
        <v>2024</v>
      </c>
      <c r="C39" s="3" t="s">
        <v>33</v>
      </c>
      <c r="D39" s="3" t="s">
        <v>22</v>
      </c>
      <c r="E39" s="3" t="s">
        <v>43</v>
      </c>
      <c r="F39" s="3" t="s">
        <v>65</v>
      </c>
      <c r="G39" s="3" t="s">
        <v>150</v>
      </c>
      <c r="H39" s="3" t="s">
        <v>75</v>
      </c>
      <c r="I39" s="3" t="s">
        <v>59</v>
      </c>
      <c r="J39" s="3" t="s">
        <v>76</v>
      </c>
      <c r="K39" s="3" t="s">
        <v>105</v>
      </c>
      <c r="L39" s="3">
        <v>32</v>
      </c>
      <c r="M39" s="4">
        <v>59668</v>
      </c>
      <c r="N39" s="6"/>
      <c r="O39" s="3">
        <v>43512.37</v>
      </c>
      <c r="P39" s="4">
        <v>1909376</v>
      </c>
      <c r="Q39" s="4">
        <v>1909376</v>
      </c>
      <c r="R39" s="4">
        <v>516980.16</v>
      </c>
      <c r="S39" s="3" t="s">
        <v>62</v>
      </c>
    </row>
    <row r="40" spans="1:19" ht="15.75" customHeight="1">
      <c r="A40" s="2">
        <v>45354</v>
      </c>
      <c r="B40" s="3">
        <v>2024</v>
      </c>
      <c r="C40" s="3" t="s">
        <v>42</v>
      </c>
      <c r="D40" s="3" t="s">
        <v>22</v>
      </c>
      <c r="E40" s="3" t="s">
        <v>64</v>
      </c>
      <c r="F40" s="3" t="s">
        <v>24</v>
      </c>
      <c r="G40" s="3" t="s">
        <v>111</v>
      </c>
      <c r="H40" s="3" t="s">
        <v>58</v>
      </c>
      <c r="I40" s="3" t="s">
        <v>59</v>
      </c>
      <c r="J40" s="3" t="s">
        <v>60</v>
      </c>
      <c r="K40" s="3" t="s">
        <v>51</v>
      </c>
      <c r="L40" s="3">
        <v>16</v>
      </c>
      <c r="M40" s="4">
        <v>140665</v>
      </c>
      <c r="N40" s="6">
        <v>0</v>
      </c>
      <c r="O40" s="3">
        <v>67880.52</v>
      </c>
      <c r="P40" s="4">
        <v>2250640</v>
      </c>
      <c r="Q40" s="4">
        <v>2250640</v>
      </c>
      <c r="R40" s="4">
        <v>1164551.6799999999</v>
      </c>
      <c r="S40" s="3" t="s">
        <v>41</v>
      </c>
    </row>
    <row r="41" spans="1:19" ht="15.75" customHeight="1">
      <c r="A41" s="2">
        <v>45394</v>
      </c>
      <c r="B41" s="3">
        <v>2024</v>
      </c>
      <c r="C41" s="3" t="s">
        <v>53</v>
      </c>
      <c r="D41" s="3" t="s">
        <v>54</v>
      </c>
      <c r="E41" s="3" t="s">
        <v>34</v>
      </c>
      <c r="F41" s="3" t="s">
        <v>95</v>
      </c>
      <c r="G41" s="3" t="s">
        <v>151</v>
      </c>
      <c r="H41" s="3" t="s">
        <v>108</v>
      </c>
      <c r="I41" s="3" t="s">
        <v>38</v>
      </c>
      <c r="J41" s="3" t="s">
        <v>110</v>
      </c>
      <c r="K41" s="3" t="s">
        <v>84</v>
      </c>
      <c r="L41" s="3">
        <v>30</v>
      </c>
      <c r="M41" s="4">
        <v>77903</v>
      </c>
      <c r="N41" s="6">
        <v>0.15</v>
      </c>
      <c r="O41" s="3">
        <v>43660.1</v>
      </c>
      <c r="P41" s="4">
        <v>2337090</v>
      </c>
      <c r="Q41" s="4">
        <v>1986526.5</v>
      </c>
      <c r="R41" s="4">
        <v>676723.5</v>
      </c>
      <c r="S41" s="3" t="s">
        <v>149</v>
      </c>
    </row>
    <row r="42" spans="1:19" ht="15.75" customHeight="1">
      <c r="A42" s="2">
        <v>45436</v>
      </c>
      <c r="B42" s="3">
        <v>2024</v>
      </c>
      <c r="C42" s="3" t="s">
        <v>63</v>
      </c>
      <c r="D42" s="3" t="s">
        <v>54</v>
      </c>
      <c r="E42" s="3" t="s">
        <v>79</v>
      </c>
      <c r="F42" s="3" t="s">
        <v>130</v>
      </c>
      <c r="G42" s="3" t="s">
        <v>57</v>
      </c>
      <c r="H42" s="3" t="s">
        <v>112</v>
      </c>
      <c r="I42" s="3" t="s">
        <v>113</v>
      </c>
      <c r="J42" s="3" t="s">
        <v>114</v>
      </c>
      <c r="K42" s="3" t="s">
        <v>40</v>
      </c>
      <c r="L42" s="3">
        <v>13</v>
      </c>
      <c r="M42" s="4">
        <v>106602</v>
      </c>
      <c r="N42" s="6">
        <v>0</v>
      </c>
      <c r="O42" s="3">
        <v>74387.570000000007</v>
      </c>
      <c r="P42" s="4">
        <v>1385826</v>
      </c>
      <c r="Q42" s="4">
        <v>1385826</v>
      </c>
      <c r="R42" s="4">
        <v>418787.59</v>
      </c>
      <c r="S42" s="3" t="s">
        <v>41</v>
      </c>
    </row>
    <row r="43" spans="1:19" ht="15.75" customHeight="1">
      <c r="A43" s="2">
        <v>45471</v>
      </c>
      <c r="B43" s="3">
        <v>2024</v>
      </c>
      <c r="C43" s="3" t="s">
        <v>68</v>
      </c>
      <c r="D43" s="3" t="s">
        <v>54</v>
      </c>
      <c r="E43" s="3" t="s">
        <v>43</v>
      </c>
      <c r="F43" s="3" t="s">
        <v>91</v>
      </c>
      <c r="G43" s="3" t="s">
        <v>106</v>
      </c>
      <c r="H43" s="3" t="s">
        <v>26</v>
      </c>
      <c r="I43" s="3" t="s">
        <v>27</v>
      </c>
      <c r="J43" s="3" t="s">
        <v>28</v>
      </c>
      <c r="K43" s="3" t="s">
        <v>51</v>
      </c>
      <c r="L43" s="3">
        <v>19</v>
      </c>
      <c r="M43" s="4">
        <v>127466</v>
      </c>
      <c r="N43" s="6">
        <v>0</v>
      </c>
      <c r="O43" s="3">
        <v>68623.539999999994</v>
      </c>
      <c r="P43" s="4">
        <v>2421854</v>
      </c>
      <c r="Q43" s="4">
        <v>2421854</v>
      </c>
      <c r="R43" s="4">
        <v>1118006.74</v>
      </c>
      <c r="S43" s="3" t="s">
        <v>70</v>
      </c>
    </row>
    <row r="44" spans="1:19" ht="15.75" customHeight="1">
      <c r="A44" s="2">
        <v>45478</v>
      </c>
      <c r="B44" s="3">
        <v>2024</v>
      </c>
      <c r="C44" s="3" t="s">
        <v>72</v>
      </c>
      <c r="D44" s="3" t="s">
        <v>73</v>
      </c>
      <c r="E44" s="3" t="s">
        <v>64</v>
      </c>
      <c r="F44" s="3" t="s">
        <v>130</v>
      </c>
      <c r="G44" s="3" t="s">
        <v>152</v>
      </c>
      <c r="H44" s="3" t="s">
        <v>44</v>
      </c>
      <c r="I44" s="3" t="s">
        <v>38</v>
      </c>
      <c r="J44" s="3" t="s">
        <v>153</v>
      </c>
      <c r="K44" s="3" t="s">
        <v>29</v>
      </c>
      <c r="L44" s="3">
        <v>8</v>
      </c>
      <c r="M44" s="4">
        <v>121097</v>
      </c>
      <c r="N44" s="6">
        <v>0.15</v>
      </c>
      <c r="O44" s="3">
        <v>87370.61</v>
      </c>
      <c r="P44" s="4">
        <v>968776</v>
      </c>
      <c r="Q44" s="4">
        <v>823459.6</v>
      </c>
      <c r="R44" s="4">
        <v>124494.72</v>
      </c>
      <c r="S44" s="3" t="s">
        <v>70</v>
      </c>
    </row>
    <row r="45" spans="1:19" ht="15.75" customHeight="1">
      <c r="A45" s="2">
        <v>45524</v>
      </c>
      <c r="B45" s="3">
        <v>2024</v>
      </c>
      <c r="C45" s="3" t="s">
        <v>78</v>
      </c>
      <c r="D45" s="3" t="s">
        <v>73</v>
      </c>
      <c r="E45" s="3" t="s">
        <v>23</v>
      </c>
      <c r="F45" s="3" t="s">
        <v>132</v>
      </c>
      <c r="H45" s="3" t="s">
        <v>48</v>
      </c>
      <c r="I45" s="3" t="s">
        <v>124</v>
      </c>
      <c r="J45" s="3" t="s">
        <v>50</v>
      </c>
      <c r="K45" s="3" t="s">
        <v>67</v>
      </c>
      <c r="L45" s="3">
        <v>14</v>
      </c>
      <c r="M45" s="4">
        <v>33282</v>
      </c>
      <c r="N45" s="6">
        <v>0.1</v>
      </c>
      <c r="O45" s="3">
        <v>21406.89</v>
      </c>
      <c r="P45" s="4">
        <v>465948</v>
      </c>
      <c r="Q45" s="4">
        <v>419353.2</v>
      </c>
      <c r="R45" s="4">
        <v>119656.74</v>
      </c>
      <c r="S45" s="3" t="s">
        <v>41</v>
      </c>
    </row>
    <row r="46" spans="1:19" ht="15.75" customHeight="1">
      <c r="A46" s="2">
        <v>45558</v>
      </c>
      <c r="B46" s="3">
        <v>2024</v>
      </c>
      <c r="C46" s="3" t="s">
        <v>85</v>
      </c>
      <c r="D46" s="3" t="s">
        <v>73</v>
      </c>
      <c r="E46" s="3" t="s">
        <v>55</v>
      </c>
      <c r="F46" s="3" t="s">
        <v>24</v>
      </c>
      <c r="G46" s="3" t="s">
        <v>139</v>
      </c>
      <c r="H46" s="3" t="s">
        <v>112</v>
      </c>
      <c r="I46" s="3" t="s">
        <v>113</v>
      </c>
      <c r="J46" s="3" t="s">
        <v>114</v>
      </c>
      <c r="K46" s="3" t="s">
        <v>67</v>
      </c>
      <c r="L46" s="3">
        <v>15</v>
      </c>
      <c r="M46" s="4">
        <v>175855</v>
      </c>
      <c r="N46" s="6">
        <v>0.15</v>
      </c>
      <c r="O46" s="3">
        <v>105301.73</v>
      </c>
      <c r="P46" s="4">
        <v>2637825</v>
      </c>
      <c r="Q46" s="4">
        <v>2242151.25</v>
      </c>
      <c r="R46" s="4">
        <v>662625.30000000005</v>
      </c>
      <c r="S46" s="3" t="s">
        <v>52</v>
      </c>
    </row>
    <row r="47" spans="1:19" ht="15.75" customHeight="1">
      <c r="A47" s="2">
        <v>45591</v>
      </c>
      <c r="B47" s="3">
        <v>2024</v>
      </c>
      <c r="C47" s="3" t="s">
        <v>88</v>
      </c>
      <c r="D47" s="3" t="s">
        <v>89</v>
      </c>
      <c r="E47" s="3" t="s">
        <v>55</v>
      </c>
      <c r="F47" s="3" t="s">
        <v>130</v>
      </c>
      <c r="H47" s="3" t="s">
        <v>96</v>
      </c>
      <c r="I47" s="3" t="s">
        <v>47</v>
      </c>
      <c r="J47" s="3" t="s">
        <v>83</v>
      </c>
      <c r="K47" s="3" t="s">
        <v>105</v>
      </c>
      <c r="L47" s="3">
        <v>30</v>
      </c>
      <c r="M47" s="4">
        <v>117515</v>
      </c>
      <c r="N47" s="6">
        <v>0.12</v>
      </c>
      <c r="O47" s="3">
        <v>70886.880000000005</v>
      </c>
      <c r="P47" s="4">
        <v>3525450</v>
      </c>
      <c r="Q47" s="4">
        <v>3102396</v>
      </c>
      <c r="R47" s="4">
        <v>975789.6</v>
      </c>
      <c r="S47" s="3" t="s">
        <v>52</v>
      </c>
    </row>
    <row r="48" spans="1:19" ht="15.75" customHeight="1">
      <c r="A48" s="2">
        <v>45618</v>
      </c>
      <c r="B48" s="3">
        <v>2024</v>
      </c>
      <c r="C48" s="3" t="s">
        <v>93</v>
      </c>
      <c r="D48" s="3" t="s">
        <v>89</v>
      </c>
      <c r="E48" s="3" t="s">
        <v>43</v>
      </c>
      <c r="F48" s="3" t="s">
        <v>132</v>
      </c>
      <c r="G48" s="3" t="s">
        <v>66</v>
      </c>
      <c r="H48" s="3" t="s">
        <v>58</v>
      </c>
      <c r="I48" s="3" t="s">
        <v>38</v>
      </c>
      <c r="J48" s="3" t="s">
        <v>60</v>
      </c>
      <c r="K48" s="3" t="s">
        <v>51</v>
      </c>
      <c r="L48" s="3">
        <v>3</v>
      </c>
      <c r="M48" s="4">
        <v>57925</v>
      </c>
      <c r="N48" s="6">
        <v>0.12</v>
      </c>
      <c r="O48" s="3">
        <v>44638.48</v>
      </c>
      <c r="P48" s="4">
        <v>173775</v>
      </c>
      <c r="Q48" s="4">
        <v>152922</v>
      </c>
      <c r="R48" s="4">
        <v>19006.560000000001</v>
      </c>
      <c r="S48" s="3" t="s">
        <v>41</v>
      </c>
    </row>
    <row r="49" spans="1:19" ht="15.75" customHeight="1">
      <c r="A49" s="2">
        <v>45640</v>
      </c>
      <c r="B49" s="3">
        <v>2024</v>
      </c>
      <c r="C49" s="3" t="s">
        <v>99</v>
      </c>
      <c r="D49" s="3" t="s">
        <v>89</v>
      </c>
      <c r="E49" s="3" t="s">
        <v>55</v>
      </c>
      <c r="F49" s="3" t="s">
        <v>86</v>
      </c>
      <c r="H49" s="3" t="s">
        <v>120</v>
      </c>
      <c r="I49" s="3" t="s">
        <v>122</v>
      </c>
      <c r="J49" s="3" t="s">
        <v>114</v>
      </c>
      <c r="K49" s="3" t="s">
        <v>84</v>
      </c>
      <c r="L49" s="3">
        <v>27</v>
      </c>
      <c r="M49" s="4">
        <v>87554</v>
      </c>
      <c r="N49" s="6">
        <v>0.08</v>
      </c>
      <c r="O49" s="3">
        <v>64330.14</v>
      </c>
      <c r="P49" s="4">
        <v>2363958</v>
      </c>
      <c r="Q49" s="4">
        <v>2174841.36</v>
      </c>
      <c r="R49" s="4">
        <v>437927.58</v>
      </c>
      <c r="S49" s="3" t="s">
        <v>52</v>
      </c>
    </row>
    <row r="50" spans="1:19" ht="15.75" customHeight="1">
      <c r="A50" s="2">
        <v>45318</v>
      </c>
      <c r="B50" s="3">
        <v>2024</v>
      </c>
      <c r="C50" s="3" t="s">
        <v>21</v>
      </c>
      <c r="D50" s="3" t="s">
        <v>22</v>
      </c>
      <c r="E50" s="3" t="s">
        <v>23</v>
      </c>
      <c r="F50" s="3" t="s">
        <v>95</v>
      </c>
      <c r="G50" s="3" t="s">
        <v>154</v>
      </c>
      <c r="H50" s="3" t="s">
        <v>108</v>
      </c>
      <c r="I50" s="3" t="s">
        <v>59</v>
      </c>
      <c r="J50" s="3" t="s">
        <v>110</v>
      </c>
      <c r="K50" s="3" t="s">
        <v>61</v>
      </c>
      <c r="L50" s="3">
        <v>4</v>
      </c>
      <c r="M50" s="4">
        <v>106838</v>
      </c>
      <c r="N50" s="6">
        <v>0.12</v>
      </c>
      <c r="O50" s="3">
        <v>71463.199999999997</v>
      </c>
      <c r="P50" s="4">
        <v>427352</v>
      </c>
      <c r="Q50" s="4">
        <v>376069.76</v>
      </c>
      <c r="R50" s="4">
        <v>90216.960000000006</v>
      </c>
      <c r="S50" s="3" t="s">
        <v>32</v>
      </c>
    </row>
    <row r="51" spans="1:19" ht="15.75" customHeight="1">
      <c r="A51" s="2">
        <v>45326</v>
      </c>
      <c r="B51" s="3">
        <v>2024</v>
      </c>
      <c r="C51" s="3" t="s">
        <v>33</v>
      </c>
      <c r="D51" s="3" t="s">
        <v>22</v>
      </c>
      <c r="E51" s="3" t="s">
        <v>23</v>
      </c>
      <c r="F51" s="3" t="s">
        <v>95</v>
      </c>
      <c r="G51" s="3" t="s">
        <v>155</v>
      </c>
      <c r="H51" s="3" t="s">
        <v>75</v>
      </c>
      <c r="I51" s="3" t="s">
        <v>59</v>
      </c>
      <c r="J51" s="3" t="s">
        <v>76</v>
      </c>
      <c r="K51" s="3" t="s">
        <v>67</v>
      </c>
      <c r="L51" s="3">
        <v>11</v>
      </c>
      <c r="M51" s="4">
        <v>15584</v>
      </c>
      <c r="N51" s="6">
        <v>0.05</v>
      </c>
      <c r="O51" s="3">
        <v>8238.41</v>
      </c>
      <c r="P51" s="4">
        <v>171424</v>
      </c>
      <c r="Q51" s="4">
        <v>162852.79999999999</v>
      </c>
      <c r="R51" s="4">
        <v>72230.289999999994</v>
      </c>
      <c r="S51" s="3" t="s">
        <v>32</v>
      </c>
    </row>
    <row r="52" spans="1:19" ht="15.75" customHeight="1">
      <c r="A52" s="2">
        <v>45368</v>
      </c>
      <c r="B52" s="3">
        <v>2024</v>
      </c>
      <c r="C52" s="3" t="s">
        <v>42</v>
      </c>
      <c r="D52" s="3" t="s">
        <v>22</v>
      </c>
      <c r="E52" s="3" t="s">
        <v>90</v>
      </c>
      <c r="F52" s="3" t="s">
        <v>80</v>
      </c>
      <c r="G52" s="3" t="s">
        <v>156</v>
      </c>
      <c r="H52" s="3" t="s">
        <v>112</v>
      </c>
      <c r="I52" s="3" t="s">
        <v>122</v>
      </c>
      <c r="J52" s="3" t="s">
        <v>114</v>
      </c>
      <c r="K52" s="3" t="s">
        <v>61</v>
      </c>
      <c r="L52" s="3">
        <v>16</v>
      </c>
      <c r="M52" s="4">
        <v>49917</v>
      </c>
      <c r="N52" s="6">
        <v>0.1</v>
      </c>
      <c r="O52" s="3">
        <v>37558.019999999997</v>
      </c>
      <c r="P52" s="4">
        <v>798672</v>
      </c>
      <c r="Q52" s="4">
        <v>718804.8</v>
      </c>
      <c r="R52" s="4">
        <v>117876.48</v>
      </c>
      <c r="S52" s="3" t="s">
        <v>62</v>
      </c>
    </row>
    <row r="53" spans="1:19" ht="15.75" customHeight="1">
      <c r="A53" s="2">
        <v>45392</v>
      </c>
      <c r="B53" s="3">
        <v>2024</v>
      </c>
      <c r="C53" s="3" t="s">
        <v>53</v>
      </c>
      <c r="D53" s="3" t="s">
        <v>54</v>
      </c>
      <c r="E53" s="3" t="s">
        <v>90</v>
      </c>
      <c r="F53" s="3" t="s">
        <v>80</v>
      </c>
      <c r="G53" s="3" t="s">
        <v>74</v>
      </c>
      <c r="H53" s="3" t="s">
        <v>44</v>
      </c>
      <c r="I53" s="3" t="s">
        <v>38</v>
      </c>
      <c r="J53" s="3" t="s">
        <v>153</v>
      </c>
      <c r="K53" s="3" t="s">
        <v>61</v>
      </c>
      <c r="L53" s="3">
        <v>35</v>
      </c>
      <c r="M53" s="4">
        <v>99147</v>
      </c>
      <c r="N53" s="6">
        <v>0.08</v>
      </c>
      <c r="O53" s="3">
        <v>60417.27</v>
      </c>
      <c r="P53" s="4">
        <v>3470145</v>
      </c>
      <c r="Q53" s="4">
        <v>3192533.4</v>
      </c>
      <c r="R53" s="4">
        <v>1077928.95</v>
      </c>
      <c r="S53" s="3" t="s">
        <v>62</v>
      </c>
    </row>
    <row r="54" spans="1:19" ht="15.75" customHeight="1">
      <c r="A54" s="2">
        <v>45423</v>
      </c>
      <c r="B54" s="3">
        <v>2024</v>
      </c>
      <c r="C54" s="3" t="s">
        <v>63</v>
      </c>
      <c r="D54" s="3" t="s">
        <v>54</v>
      </c>
      <c r="E54" s="3" t="s">
        <v>90</v>
      </c>
      <c r="F54" s="3" t="s">
        <v>65</v>
      </c>
      <c r="G54" s="3" t="s">
        <v>157</v>
      </c>
      <c r="H54" s="3" t="s">
        <v>44</v>
      </c>
      <c r="I54" s="3" t="s">
        <v>59</v>
      </c>
      <c r="J54" s="3" t="s">
        <v>153</v>
      </c>
      <c r="K54" s="3" t="s">
        <v>67</v>
      </c>
      <c r="L54" s="3">
        <v>10</v>
      </c>
      <c r="M54" s="4">
        <v>21704</v>
      </c>
      <c r="N54" s="6"/>
      <c r="O54" s="3">
        <v>16373.39</v>
      </c>
      <c r="P54" s="4">
        <v>217040</v>
      </c>
      <c r="Q54" s="4"/>
      <c r="R54" s="4">
        <v>53306.1</v>
      </c>
      <c r="S54" s="3" t="s">
        <v>70</v>
      </c>
    </row>
    <row r="55" spans="1:19" ht="15.75" customHeight="1">
      <c r="A55" s="2">
        <v>45446</v>
      </c>
      <c r="B55" s="3">
        <v>2024</v>
      </c>
      <c r="C55" s="3" t="s">
        <v>68</v>
      </c>
      <c r="D55" s="3" t="s">
        <v>54</v>
      </c>
      <c r="E55" s="3" t="s">
        <v>34</v>
      </c>
      <c r="F55" s="3" t="s">
        <v>80</v>
      </c>
      <c r="G55" s="3" t="s">
        <v>69</v>
      </c>
      <c r="H55" s="3" t="s">
        <v>96</v>
      </c>
      <c r="I55" s="3" t="s">
        <v>38</v>
      </c>
      <c r="J55" s="3" t="s">
        <v>83</v>
      </c>
      <c r="K55" s="3" t="s">
        <v>67</v>
      </c>
      <c r="L55" s="3">
        <v>6</v>
      </c>
      <c r="M55" s="4">
        <v>151885</v>
      </c>
      <c r="N55" s="6"/>
      <c r="O55" s="3">
        <v>101668.74</v>
      </c>
      <c r="P55" s="4">
        <v>911310</v>
      </c>
      <c r="Q55" s="4">
        <v>911310</v>
      </c>
      <c r="R55" s="4">
        <v>301297.56</v>
      </c>
      <c r="S55" s="3" t="s">
        <v>70</v>
      </c>
    </row>
    <row r="56" spans="1:19" ht="15.75" customHeight="1">
      <c r="A56" s="2">
        <v>45497</v>
      </c>
      <c r="B56" s="3">
        <v>2024</v>
      </c>
      <c r="C56" s="3" t="s">
        <v>72</v>
      </c>
      <c r="D56" s="3" t="s">
        <v>73</v>
      </c>
      <c r="E56" s="3" t="s">
        <v>23</v>
      </c>
      <c r="F56" s="3" t="s">
        <v>91</v>
      </c>
      <c r="G56" s="3" t="s">
        <v>57</v>
      </c>
      <c r="H56" s="3" t="s">
        <v>58</v>
      </c>
      <c r="I56" s="3" t="s">
        <v>47</v>
      </c>
      <c r="J56" s="3" t="s">
        <v>60</v>
      </c>
      <c r="K56" s="3" t="s">
        <v>61</v>
      </c>
      <c r="L56" s="3">
        <v>11</v>
      </c>
      <c r="M56" s="4">
        <v>19588</v>
      </c>
      <c r="N56" s="6">
        <v>0</v>
      </c>
      <c r="O56" s="3">
        <v>10825.87</v>
      </c>
      <c r="P56" s="4">
        <v>215468</v>
      </c>
      <c r="Q56" s="4">
        <v>215468</v>
      </c>
      <c r="R56" s="4">
        <v>96383.43</v>
      </c>
      <c r="S56" s="3" t="s">
        <v>62</v>
      </c>
    </row>
    <row r="57" spans="1:19" ht="15.75" customHeight="1">
      <c r="A57" s="2">
        <v>45510</v>
      </c>
      <c r="B57" s="3">
        <v>2024</v>
      </c>
      <c r="C57" s="3" t="s">
        <v>78</v>
      </c>
      <c r="D57" s="3" t="s">
        <v>73</v>
      </c>
      <c r="E57" s="3" t="s">
        <v>23</v>
      </c>
      <c r="F57" s="3" t="s">
        <v>130</v>
      </c>
      <c r="G57" s="3" t="s">
        <v>155</v>
      </c>
      <c r="H57" s="3" t="s">
        <v>96</v>
      </c>
      <c r="I57" s="3" t="s">
        <v>47</v>
      </c>
      <c r="J57" s="3" t="s">
        <v>83</v>
      </c>
      <c r="K57" s="3" t="s">
        <v>61</v>
      </c>
      <c r="L57" s="3">
        <v>38</v>
      </c>
      <c r="M57" s="4">
        <v>132887</v>
      </c>
      <c r="N57" s="6">
        <v>0.12</v>
      </c>
      <c r="O57" s="3">
        <v>71674.509999999995</v>
      </c>
      <c r="P57" s="4">
        <v>5049706</v>
      </c>
      <c r="Q57" s="4">
        <v>4443741.28</v>
      </c>
      <c r="R57" s="4">
        <v>1720109.9</v>
      </c>
      <c r="S57" s="3" t="s">
        <v>32</v>
      </c>
    </row>
    <row r="58" spans="1:19" ht="15.75" customHeight="1">
      <c r="A58" s="2">
        <v>45547</v>
      </c>
      <c r="B58" s="3">
        <v>2024</v>
      </c>
      <c r="C58" s="3" t="s">
        <v>85</v>
      </c>
      <c r="D58" s="3" t="s">
        <v>73</v>
      </c>
      <c r="E58" s="3" t="s">
        <v>79</v>
      </c>
      <c r="F58" s="3" t="s">
        <v>80</v>
      </c>
      <c r="G58" s="3" t="s">
        <v>123</v>
      </c>
      <c r="H58" s="3" t="s">
        <v>75</v>
      </c>
      <c r="I58" s="3" t="s">
        <v>59</v>
      </c>
      <c r="J58" s="3" t="s">
        <v>76</v>
      </c>
      <c r="K58" s="3" t="s">
        <v>61</v>
      </c>
      <c r="L58" s="3">
        <v>20</v>
      </c>
      <c r="M58" s="4">
        <v>112845</v>
      </c>
      <c r="N58" s="6">
        <v>0.05</v>
      </c>
      <c r="O58" s="3">
        <v>60148.87</v>
      </c>
      <c r="P58" s="4">
        <v>2256900</v>
      </c>
      <c r="Q58" s="4">
        <v>2144055</v>
      </c>
      <c r="R58" s="4">
        <v>941077.6</v>
      </c>
      <c r="S58" s="3" t="s">
        <v>52</v>
      </c>
    </row>
    <row r="59" spans="1:19" ht="15.75" customHeight="1">
      <c r="A59" s="2">
        <v>45574</v>
      </c>
      <c r="B59" s="3">
        <v>2024</v>
      </c>
      <c r="C59" s="3" t="s">
        <v>88</v>
      </c>
      <c r="D59" s="3" t="s">
        <v>89</v>
      </c>
      <c r="E59" s="3" t="s">
        <v>23</v>
      </c>
      <c r="F59" s="3" t="s">
        <v>132</v>
      </c>
      <c r="G59" s="3" t="s">
        <v>137</v>
      </c>
      <c r="H59" s="3" t="s">
        <v>102</v>
      </c>
      <c r="I59" s="3" t="s">
        <v>124</v>
      </c>
      <c r="J59" s="3" t="s">
        <v>104</v>
      </c>
      <c r="K59" s="3" t="s">
        <v>40</v>
      </c>
      <c r="L59" s="3">
        <v>19</v>
      </c>
      <c r="M59" s="4">
        <v>72324</v>
      </c>
      <c r="N59" s="6"/>
      <c r="O59" s="3">
        <v>38089.550000000003</v>
      </c>
      <c r="P59" s="4">
        <v>1374156</v>
      </c>
      <c r="Q59" s="4">
        <v>1374156</v>
      </c>
      <c r="R59" s="4">
        <v>650454.55000000005</v>
      </c>
      <c r="S59" s="3" t="s">
        <v>41</v>
      </c>
    </row>
    <row r="60" spans="1:19" ht="15.75" customHeight="1">
      <c r="A60" s="2">
        <v>45600</v>
      </c>
      <c r="B60" s="3">
        <v>2024</v>
      </c>
      <c r="C60" s="3" t="s">
        <v>93</v>
      </c>
      <c r="D60" s="3" t="s">
        <v>89</v>
      </c>
      <c r="E60" s="3" t="s">
        <v>90</v>
      </c>
      <c r="F60" s="3" t="s">
        <v>101</v>
      </c>
      <c r="G60" s="3" t="s">
        <v>158</v>
      </c>
      <c r="H60" s="3" t="s">
        <v>26</v>
      </c>
      <c r="I60" s="3" t="s">
        <v>27</v>
      </c>
      <c r="J60" s="3" t="s">
        <v>28</v>
      </c>
      <c r="K60" s="3" t="s">
        <v>40</v>
      </c>
      <c r="L60" s="3">
        <v>290</v>
      </c>
      <c r="M60" s="4">
        <v>46448</v>
      </c>
      <c r="N60" s="6">
        <v>0.2</v>
      </c>
      <c r="O60" s="3">
        <v>26213.01</v>
      </c>
      <c r="P60" s="4">
        <v>13469920</v>
      </c>
      <c r="Q60" s="4">
        <v>10775936</v>
      </c>
      <c r="R60" s="4">
        <v>3174163.1</v>
      </c>
      <c r="S60" s="3" t="s">
        <v>70</v>
      </c>
    </row>
    <row r="61" spans="1:19" ht="15.75" customHeight="1">
      <c r="A61" s="2">
        <v>45635</v>
      </c>
      <c r="B61" s="3">
        <v>2024</v>
      </c>
      <c r="C61" s="3" t="s">
        <v>99</v>
      </c>
      <c r="D61" s="3" t="s">
        <v>89</v>
      </c>
      <c r="E61" s="3" t="s">
        <v>43</v>
      </c>
      <c r="F61" s="3" t="s">
        <v>35</v>
      </c>
      <c r="G61" s="3" t="s">
        <v>156</v>
      </c>
      <c r="H61" s="3" t="s">
        <v>108</v>
      </c>
      <c r="I61" s="3" t="s">
        <v>38</v>
      </c>
      <c r="J61" s="3" t="s">
        <v>110</v>
      </c>
      <c r="K61" s="3" t="s">
        <v>40</v>
      </c>
      <c r="L61" s="3">
        <v>19</v>
      </c>
      <c r="M61" s="4">
        <v>100792</v>
      </c>
      <c r="N61" s="6">
        <v>0.12</v>
      </c>
      <c r="O61" s="3">
        <v>79324.58</v>
      </c>
      <c r="P61" s="4">
        <v>1915048</v>
      </c>
      <c r="Q61" s="4">
        <v>1685242.24</v>
      </c>
      <c r="R61" s="4">
        <v>178075.22</v>
      </c>
      <c r="S61" s="3" t="s">
        <v>41</v>
      </c>
    </row>
    <row r="62" spans="1:19" ht="15.75" customHeight="1">
      <c r="A62" s="2">
        <v>45303</v>
      </c>
      <c r="B62" s="3">
        <v>2024</v>
      </c>
      <c r="C62" s="3" t="s">
        <v>21</v>
      </c>
      <c r="D62" s="3" t="s">
        <v>22</v>
      </c>
      <c r="E62" s="3" t="s">
        <v>23</v>
      </c>
      <c r="F62" s="3" t="s">
        <v>91</v>
      </c>
      <c r="G62" s="3" t="s">
        <v>159</v>
      </c>
      <c r="H62" s="3" t="s">
        <v>108</v>
      </c>
      <c r="I62" s="3" t="s">
        <v>59</v>
      </c>
      <c r="J62" s="3" t="s">
        <v>110</v>
      </c>
      <c r="K62" s="3" t="s">
        <v>51</v>
      </c>
      <c r="L62" s="3">
        <v>8</v>
      </c>
      <c r="M62" s="4">
        <v>80724</v>
      </c>
      <c r="N62" s="6"/>
      <c r="O62" s="3">
        <v>39386.949999999997</v>
      </c>
      <c r="P62" s="4">
        <v>645792</v>
      </c>
      <c r="Q62" s="4">
        <v>645792</v>
      </c>
      <c r="R62" s="4">
        <v>330696.40000000002</v>
      </c>
      <c r="S62" s="3" t="s">
        <v>41</v>
      </c>
    </row>
    <row r="63" spans="1:19" ht="15.75" customHeight="1">
      <c r="A63" s="2">
        <v>45343</v>
      </c>
      <c r="B63" s="3">
        <v>2024</v>
      </c>
      <c r="C63" s="3" t="s">
        <v>33</v>
      </c>
      <c r="D63" s="3" t="s">
        <v>22</v>
      </c>
      <c r="E63" s="3" t="s">
        <v>23</v>
      </c>
      <c r="F63" s="3" t="s">
        <v>24</v>
      </c>
      <c r="G63" s="3" t="s">
        <v>133</v>
      </c>
      <c r="H63" s="3" t="s">
        <v>58</v>
      </c>
      <c r="I63" s="3" t="s">
        <v>59</v>
      </c>
      <c r="J63" s="3" t="s">
        <v>60</v>
      </c>
      <c r="K63" s="3" t="s">
        <v>67</v>
      </c>
      <c r="L63" s="3">
        <v>27</v>
      </c>
      <c r="M63" s="4">
        <v>23887</v>
      </c>
      <c r="N63" s="6">
        <v>0.2</v>
      </c>
      <c r="O63" s="3">
        <v>19075.55</v>
      </c>
      <c r="P63" s="4">
        <v>644949</v>
      </c>
      <c r="Q63" s="4">
        <v>515959.2</v>
      </c>
      <c r="R63" s="4">
        <v>919.35</v>
      </c>
      <c r="S63" s="3" t="s">
        <v>32</v>
      </c>
    </row>
    <row r="64" spans="1:19" ht="15.75" customHeight="1">
      <c r="A64" s="2">
        <v>45374</v>
      </c>
      <c r="B64" s="3">
        <v>2024</v>
      </c>
      <c r="C64" s="3" t="s">
        <v>42</v>
      </c>
      <c r="D64" s="3" t="s">
        <v>22</v>
      </c>
      <c r="E64" s="3" t="s">
        <v>79</v>
      </c>
      <c r="F64" s="3" t="s">
        <v>91</v>
      </c>
      <c r="G64" s="3" t="s">
        <v>142</v>
      </c>
      <c r="H64" s="3" t="s">
        <v>37</v>
      </c>
      <c r="I64" s="3" t="s">
        <v>59</v>
      </c>
      <c r="J64" s="3" t="s">
        <v>39</v>
      </c>
      <c r="K64" s="3" t="s">
        <v>67</v>
      </c>
      <c r="L64" s="3">
        <v>7</v>
      </c>
      <c r="M64" s="4">
        <v>173389</v>
      </c>
      <c r="N64" s="6">
        <v>0.2</v>
      </c>
      <c r="O64" s="3">
        <v>80010.48</v>
      </c>
      <c r="P64" s="4">
        <v>1213723</v>
      </c>
      <c r="Q64" s="4">
        <v>970978.4</v>
      </c>
      <c r="R64" s="4">
        <v>410905.04</v>
      </c>
      <c r="S64" s="3" t="s">
        <v>62</v>
      </c>
    </row>
    <row r="65" spans="1:19" ht="15.75" customHeight="1">
      <c r="A65" s="2">
        <v>45400</v>
      </c>
      <c r="B65" s="3">
        <v>2024</v>
      </c>
      <c r="C65" s="3" t="s">
        <v>53</v>
      </c>
      <c r="D65" s="3" t="s">
        <v>54</v>
      </c>
      <c r="E65" s="3" t="s">
        <v>90</v>
      </c>
      <c r="F65" s="3" t="s">
        <v>86</v>
      </c>
      <c r="G65" s="3" t="s">
        <v>69</v>
      </c>
      <c r="H65" s="3" t="s">
        <v>120</v>
      </c>
      <c r="I65" s="3" t="s">
        <v>27</v>
      </c>
      <c r="J65" s="3" t="s">
        <v>114</v>
      </c>
      <c r="K65" s="3" t="s">
        <v>84</v>
      </c>
      <c r="L65" s="3">
        <v>13</v>
      </c>
      <c r="M65" s="4">
        <v>131201</v>
      </c>
      <c r="N65" s="6">
        <v>0.15</v>
      </c>
      <c r="O65" s="3">
        <v>88507.74</v>
      </c>
      <c r="P65" s="4">
        <v>1705613</v>
      </c>
      <c r="Q65" s="4">
        <v>1449771.05</v>
      </c>
      <c r="R65" s="4">
        <v>299170.43</v>
      </c>
      <c r="S65" s="3" t="s">
        <v>52</v>
      </c>
    </row>
    <row r="66" spans="1:19" ht="15.75" customHeight="1">
      <c r="A66" s="2">
        <v>45415</v>
      </c>
      <c r="B66" s="3">
        <v>2024</v>
      </c>
      <c r="C66" s="3" t="s">
        <v>63</v>
      </c>
      <c r="D66" s="3" t="s">
        <v>54</v>
      </c>
      <c r="E66" s="3" t="s">
        <v>43</v>
      </c>
      <c r="F66" s="3" t="s">
        <v>132</v>
      </c>
      <c r="G66" s="3" t="s">
        <v>160</v>
      </c>
      <c r="H66" s="3" t="s">
        <v>58</v>
      </c>
      <c r="I66" s="3" t="s">
        <v>47</v>
      </c>
      <c r="J66" s="3" t="s">
        <v>60</v>
      </c>
      <c r="K66" s="3" t="s">
        <v>40</v>
      </c>
      <c r="L66" s="3">
        <v>15</v>
      </c>
      <c r="M66" s="4">
        <v>50680</v>
      </c>
      <c r="N66" s="6">
        <v>0</v>
      </c>
      <c r="O66" s="3">
        <v>27724.3</v>
      </c>
      <c r="P66" s="4">
        <v>760200</v>
      </c>
      <c r="Q66" s="4">
        <v>760200</v>
      </c>
      <c r="R66" s="4">
        <v>344335.5</v>
      </c>
      <c r="S66" s="3" t="s">
        <v>41</v>
      </c>
    </row>
    <row r="67" spans="1:19" ht="15.75" customHeight="1">
      <c r="A67" s="2">
        <v>45444</v>
      </c>
      <c r="B67" s="3">
        <v>2024</v>
      </c>
      <c r="C67" s="3" t="s">
        <v>68</v>
      </c>
      <c r="D67" s="3" t="s">
        <v>54</v>
      </c>
      <c r="E67" s="3" t="s">
        <v>55</v>
      </c>
      <c r="F67" s="3" t="s">
        <v>147</v>
      </c>
      <c r="G67" s="3" t="s">
        <v>161</v>
      </c>
      <c r="H67" s="3" t="s">
        <v>96</v>
      </c>
      <c r="I67" s="3" t="s">
        <v>47</v>
      </c>
      <c r="J67" s="3" t="s">
        <v>83</v>
      </c>
      <c r="K67" s="3" t="s">
        <v>105</v>
      </c>
      <c r="L67" s="3">
        <v>12</v>
      </c>
      <c r="M67" s="4">
        <v>45228</v>
      </c>
      <c r="N67" s="6">
        <v>0.05</v>
      </c>
      <c r="O67" s="3">
        <v>32156.33</v>
      </c>
      <c r="P67" s="4">
        <v>542736</v>
      </c>
      <c r="Q67" s="4">
        <v>515599.2</v>
      </c>
      <c r="R67" s="4">
        <v>129723.24</v>
      </c>
      <c r="S67" s="3" t="s">
        <v>70</v>
      </c>
    </row>
    <row r="68" spans="1:19" ht="15.75" customHeight="1">
      <c r="A68" s="2">
        <v>45475</v>
      </c>
      <c r="B68" s="3">
        <v>2024</v>
      </c>
      <c r="C68" s="3" t="s">
        <v>72</v>
      </c>
      <c r="D68" s="3" t="s">
        <v>73</v>
      </c>
      <c r="E68" s="3" t="s">
        <v>90</v>
      </c>
      <c r="F68" s="3" t="s">
        <v>95</v>
      </c>
      <c r="G68" s="3" t="s">
        <v>133</v>
      </c>
      <c r="H68" s="3" t="s">
        <v>48</v>
      </c>
      <c r="I68" s="3" t="s">
        <v>124</v>
      </c>
      <c r="J68" s="3" t="s">
        <v>50</v>
      </c>
      <c r="K68" s="3" t="s">
        <v>61</v>
      </c>
      <c r="L68" s="3">
        <v>2</v>
      </c>
      <c r="M68" s="4">
        <v>137562</v>
      </c>
      <c r="N68" s="6">
        <v>0.08</v>
      </c>
      <c r="O68" s="3">
        <v>94936.23</v>
      </c>
      <c r="P68" s="4">
        <v>275124</v>
      </c>
      <c r="Q68" s="4">
        <v>253114.08</v>
      </c>
      <c r="R68" s="4">
        <v>63241.62</v>
      </c>
      <c r="S68" s="3" t="s">
        <v>70</v>
      </c>
    </row>
    <row r="69" spans="1:19" ht="15.75" customHeight="1">
      <c r="A69" s="2">
        <v>45509</v>
      </c>
      <c r="B69" s="3">
        <v>2024</v>
      </c>
      <c r="C69" s="3" t="s">
        <v>78</v>
      </c>
      <c r="D69" s="3" t="s">
        <v>73</v>
      </c>
      <c r="E69" s="3" t="s">
        <v>55</v>
      </c>
      <c r="F69" s="3" t="s">
        <v>130</v>
      </c>
      <c r="G69" s="3" t="s">
        <v>162</v>
      </c>
      <c r="H69" s="3" t="s">
        <v>82</v>
      </c>
      <c r="I69" s="3" t="s">
        <v>47</v>
      </c>
      <c r="J69" s="3" t="s">
        <v>83</v>
      </c>
      <c r="K69" s="3" t="s">
        <v>51</v>
      </c>
      <c r="L69" s="3">
        <v>34</v>
      </c>
      <c r="M69" s="4">
        <v>144527</v>
      </c>
      <c r="N69" s="6">
        <v>0.05</v>
      </c>
      <c r="O69" s="3">
        <v>105155.48</v>
      </c>
      <c r="P69" s="4">
        <v>4913918</v>
      </c>
      <c r="Q69" s="4">
        <v>4668222.0999999996</v>
      </c>
      <c r="R69" s="4">
        <v>1092935.78</v>
      </c>
      <c r="S69" s="3" t="s">
        <v>32</v>
      </c>
    </row>
    <row r="70" spans="1:19" ht="15.75" customHeight="1">
      <c r="A70" s="2">
        <v>45550</v>
      </c>
      <c r="B70" s="3">
        <v>2024</v>
      </c>
      <c r="C70" s="3" t="s">
        <v>85</v>
      </c>
      <c r="D70" s="3" t="s">
        <v>73</v>
      </c>
      <c r="E70" s="3" t="s">
        <v>64</v>
      </c>
      <c r="F70" s="3" t="s">
        <v>65</v>
      </c>
      <c r="G70" s="3" t="s">
        <v>46</v>
      </c>
      <c r="H70" s="3" t="s">
        <v>102</v>
      </c>
      <c r="I70" s="3" t="s">
        <v>103</v>
      </c>
      <c r="J70" s="3" t="s">
        <v>104</v>
      </c>
      <c r="K70" s="3" t="s">
        <v>61</v>
      </c>
      <c r="L70" s="3">
        <v>27</v>
      </c>
      <c r="M70" s="4">
        <v>93932</v>
      </c>
      <c r="N70" s="6">
        <v>0.2</v>
      </c>
      <c r="O70" s="3">
        <v>54575</v>
      </c>
      <c r="P70" s="4">
        <v>2536164</v>
      </c>
      <c r="Q70" s="4">
        <v>2028931.2</v>
      </c>
      <c r="R70" s="4">
        <v>555406.19999999995</v>
      </c>
      <c r="S70" s="3" t="s">
        <v>41</v>
      </c>
    </row>
    <row r="71" spans="1:19" ht="15.75" customHeight="1">
      <c r="A71" s="2">
        <v>45589</v>
      </c>
      <c r="B71" s="3">
        <v>2024</v>
      </c>
      <c r="C71" s="3" t="s">
        <v>88</v>
      </c>
      <c r="D71" s="3" t="s">
        <v>89</v>
      </c>
      <c r="E71" s="3" t="s">
        <v>90</v>
      </c>
      <c r="F71" s="3" t="s">
        <v>86</v>
      </c>
      <c r="G71" s="3" t="s">
        <v>163</v>
      </c>
      <c r="H71" s="3" t="s">
        <v>82</v>
      </c>
      <c r="I71" s="3" t="s">
        <v>59</v>
      </c>
      <c r="J71" s="3" t="s">
        <v>83</v>
      </c>
      <c r="K71" s="3" t="s">
        <v>51</v>
      </c>
      <c r="L71" s="3">
        <v>36</v>
      </c>
      <c r="M71" s="4">
        <v>44042</v>
      </c>
      <c r="N71" s="6">
        <v>0.08</v>
      </c>
      <c r="O71" s="3">
        <v>33200.28</v>
      </c>
      <c r="P71" s="4">
        <v>1585512</v>
      </c>
      <c r="Q71" s="4">
        <v>1458671.04</v>
      </c>
      <c r="R71" s="4">
        <v>263460.96000000002</v>
      </c>
      <c r="S71" s="3" t="s">
        <v>149</v>
      </c>
    </row>
    <row r="72" spans="1:19" ht="15.75" customHeight="1">
      <c r="A72" s="2">
        <v>45601</v>
      </c>
      <c r="B72" s="3">
        <v>2024</v>
      </c>
      <c r="C72" s="3" t="s">
        <v>93</v>
      </c>
      <c r="D72" s="3" t="s">
        <v>89</v>
      </c>
      <c r="E72" s="3" t="s">
        <v>90</v>
      </c>
      <c r="F72" s="3" t="s">
        <v>91</v>
      </c>
      <c r="G72" s="3" t="s">
        <v>164</v>
      </c>
      <c r="H72" s="3" t="s">
        <v>58</v>
      </c>
      <c r="I72" s="3" t="s">
        <v>59</v>
      </c>
      <c r="J72" s="3" t="s">
        <v>60</v>
      </c>
      <c r="K72" s="3" t="s">
        <v>84</v>
      </c>
      <c r="L72" s="3">
        <v>36</v>
      </c>
      <c r="M72" s="4">
        <v>85024</v>
      </c>
      <c r="N72" s="6">
        <v>0.08</v>
      </c>
      <c r="O72" s="3">
        <v>63411.27</v>
      </c>
      <c r="P72" s="4">
        <v>3060864</v>
      </c>
      <c r="Q72" s="4">
        <v>2815994.88</v>
      </c>
      <c r="R72" s="4">
        <v>533189.16</v>
      </c>
      <c r="S72" s="3" t="s">
        <v>52</v>
      </c>
    </row>
    <row r="73" spans="1:19" ht="15.75" customHeight="1">
      <c r="A73" s="2">
        <v>45627</v>
      </c>
      <c r="B73" s="3">
        <v>2024</v>
      </c>
      <c r="C73" s="3" t="s">
        <v>99</v>
      </c>
      <c r="D73" s="3" t="s">
        <v>89</v>
      </c>
      <c r="E73" s="3" t="s">
        <v>64</v>
      </c>
      <c r="F73" s="3" t="s">
        <v>80</v>
      </c>
      <c r="G73" s="3" t="s">
        <v>150</v>
      </c>
      <c r="H73" s="3" t="s">
        <v>112</v>
      </c>
      <c r="I73" s="3" t="s">
        <v>122</v>
      </c>
      <c r="J73" s="3" t="s">
        <v>114</v>
      </c>
      <c r="K73" s="3" t="s">
        <v>84</v>
      </c>
      <c r="L73" s="3">
        <v>1</v>
      </c>
      <c r="M73" s="4">
        <v>49552</v>
      </c>
      <c r="N73" s="6">
        <v>0.08</v>
      </c>
      <c r="O73" s="3">
        <v>23505.23</v>
      </c>
      <c r="P73" s="4">
        <v>49552</v>
      </c>
      <c r="Q73" s="4">
        <v>45587.839999999997</v>
      </c>
      <c r="R73" s="4">
        <v>22082.61</v>
      </c>
      <c r="S73" s="3" t="s">
        <v>149</v>
      </c>
    </row>
    <row r="74" spans="1:19" ht="15.75" customHeight="1">
      <c r="A74" s="2">
        <v>45302</v>
      </c>
      <c r="B74" s="3">
        <v>2024</v>
      </c>
      <c r="C74" s="3" t="s">
        <v>21</v>
      </c>
      <c r="D74" s="3" t="s">
        <v>22</v>
      </c>
      <c r="E74" s="3" t="s">
        <v>64</v>
      </c>
      <c r="F74" s="3" t="s">
        <v>80</v>
      </c>
      <c r="G74" s="3" t="s">
        <v>161</v>
      </c>
      <c r="H74" s="3" t="s">
        <v>75</v>
      </c>
      <c r="I74" s="3" t="s">
        <v>47</v>
      </c>
      <c r="J74" s="3" t="s">
        <v>76</v>
      </c>
      <c r="K74" s="3" t="s">
        <v>40</v>
      </c>
      <c r="L74" s="3">
        <v>37</v>
      </c>
      <c r="M74" s="4">
        <v>25791</v>
      </c>
      <c r="N74" s="6">
        <v>0</v>
      </c>
      <c r="O74" s="3">
        <v>17689.759999999998</v>
      </c>
      <c r="P74" s="4">
        <v>954267</v>
      </c>
      <c r="Q74" s="4">
        <v>954267</v>
      </c>
      <c r="R74" s="4">
        <v>299745.88</v>
      </c>
      <c r="S74" s="3" t="s">
        <v>62</v>
      </c>
    </row>
    <row r="75" spans="1:19" ht="15.75" customHeight="1">
      <c r="A75" s="2">
        <v>45326</v>
      </c>
      <c r="B75" s="3">
        <v>2024</v>
      </c>
      <c r="C75" s="3" t="s">
        <v>33</v>
      </c>
      <c r="D75" s="3" t="s">
        <v>22</v>
      </c>
      <c r="E75" s="3" t="s">
        <v>55</v>
      </c>
      <c r="F75" s="3" t="s">
        <v>91</v>
      </c>
      <c r="H75" s="3" t="s">
        <v>108</v>
      </c>
      <c r="I75" s="3" t="s">
        <v>38</v>
      </c>
      <c r="J75" s="3" t="s">
        <v>110</v>
      </c>
      <c r="K75" s="3" t="s">
        <v>67</v>
      </c>
      <c r="L75" s="3">
        <v>38</v>
      </c>
      <c r="M75" s="4">
        <v>92850</v>
      </c>
      <c r="N75" s="6">
        <v>0.08</v>
      </c>
      <c r="O75" s="3">
        <v>73774.52</v>
      </c>
      <c r="P75" s="4">
        <v>3528300</v>
      </c>
      <c r="Q75" s="4">
        <v>3246036</v>
      </c>
      <c r="R75" s="4">
        <v>442604.24</v>
      </c>
      <c r="S75" s="3" t="s">
        <v>32</v>
      </c>
    </row>
    <row r="76" spans="1:19" ht="15.75" customHeight="1">
      <c r="A76" s="2">
        <v>45362</v>
      </c>
      <c r="B76" s="3">
        <v>2024</v>
      </c>
      <c r="C76" s="3" t="s">
        <v>42</v>
      </c>
      <c r="D76" s="3" t="s">
        <v>22</v>
      </c>
      <c r="E76" s="3" t="s">
        <v>23</v>
      </c>
      <c r="F76" s="3" t="s">
        <v>165</v>
      </c>
      <c r="G76" s="3" t="s">
        <v>166</v>
      </c>
      <c r="H76" s="3" t="s">
        <v>112</v>
      </c>
      <c r="I76" s="3" t="s">
        <v>27</v>
      </c>
      <c r="J76" s="3" t="s">
        <v>114</v>
      </c>
      <c r="K76" s="3" t="s">
        <v>167</v>
      </c>
      <c r="L76" s="3">
        <v>9</v>
      </c>
      <c r="M76" s="4">
        <v>72322</v>
      </c>
      <c r="N76" s="6"/>
      <c r="O76" s="3">
        <v>34369.33</v>
      </c>
      <c r="P76" s="4">
        <v>650898</v>
      </c>
      <c r="Q76" s="4">
        <v>650898</v>
      </c>
      <c r="R76" s="4">
        <v>341574.03</v>
      </c>
      <c r="S76" s="3" t="s">
        <v>149</v>
      </c>
    </row>
    <row r="77" spans="1:19" ht="15.75" customHeight="1">
      <c r="A77" s="2">
        <v>45405</v>
      </c>
      <c r="B77" s="3">
        <v>2024</v>
      </c>
      <c r="C77" s="3" t="s">
        <v>53</v>
      </c>
      <c r="D77" s="3" t="s">
        <v>54</v>
      </c>
      <c r="E77" s="3" t="s">
        <v>90</v>
      </c>
      <c r="F77" s="3" t="s">
        <v>65</v>
      </c>
      <c r="G77" s="3" t="s">
        <v>81</v>
      </c>
      <c r="H77" s="3" t="s">
        <v>102</v>
      </c>
      <c r="I77" s="3" t="s">
        <v>49</v>
      </c>
      <c r="J77" s="3" t="s">
        <v>104</v>
      </c>
      <c r="K77" s="3" t="s">
        <v>61</v>
      </c>
      <c r="L77" s="3">
        <v>2</v>
      </c>
      <c r="M77" s="4">
        <v>57055</v>
      </c>
      <c r="N77" s="6">
        <v>0.12</v>
      </c>
      <c r="O77" s="3">
        <v>42289.68</v>
      </c>
      <c r="P77" s="4">
        <v>114110</v>
      </c>
      <c r="Q77" s="4">
        <v>100416.8</v>
      </c>
      <c r="R77" s="4">
        <v>15837.44</v>
      </c>
      <c r="S77" s="3" t="s">
        <v>62</v>
      </c>
    </row>
    <row r="78" spans="1:19" ht="15.75" customHeight="1">
      <c r="A78" s="2">
        <v>45425</v>
      </c>
      <c r="B78" s="3">
        <v>2024</v>
      </c>
      <c r="C78" s="3" t="s">
        <v>63</v>
      </c>
      <c r="D78" s="3" t="s">
        <v>54</v>
      </c>
      <c r="E78" s="3" t="s">
        <v>43</v>
      </c>
      <c r="F78" s="3" t="s">
        <v>80</v>
      </c>
      <c r="G78" s="3" t="s">
        <v>168</v>
      </c>
      <c r="H78" s="3" t="s">
        <v>82</v>
      </c>
      <c r="I78" s="3" t="s">
        <v>47</v>
      </c>
      <c r="J78" s="3" t="s">
        <v>83</v>
      </c>
      <c r="K78" s="3" t="s">
        <v>84</v>
      </c>
      <c r="L78" s="3">
        <v>11</v>
      </c>
      <c r="M78" s="4">
        <v>177996</v>
      </c>
      <c r="N78" s="6">
        <v>0.15</v>
      </c>
      <c r="O78" s="3">
        <v>136535.92000000001</v>
      </c>
      <c r="P78" s="4">
        <v>1957956</v>
      </c>
      <c r="Q78" s="4">
        <v>1664262.6</v>
      </c>
      <c r="R78" s="4">
        <v>162367.48000000001</v>
      </c>
      <c r="S78" s="3" t="s">
        <v>62</v>
      </c>
    </row>
    <row r="79" spans="1:19" ht="15.75" customHeight="1">
      <c r="A79" s="2">
        <v>45452</v>
      </c>
      <c r="B79" s="3">
        <v>2024</v>
      </c>
      <c r="C79" s="3" t="s">
        <v>68</v>
      </c>
      <c r="D79" s="3" t="s">
        <v>54</v>
      </c>
      <c r="E79" s="3" t="s">
        <v>64</v>
      </c>
      <c r="F79" s="3" t="s">
        <v>147</v>
      </c>
      <c r="G79" s="3" t="s">
        <v>74</v>
      </c>
      <c r="H79" s="3" t="s">
        <v>96</v>
      </c>
      <c r="I79" s="3" t="s">
        <v>38</v>
      </c>
      <c r="J79" s="3" t="s">
        <v>83</v>
      </c>
      <c r="K79" s="3" t="s">
        <v>40</v>
      </c>
      <c r="L79" s="3">
        <v>5</v>
      </c>
      <c r="M79" s="4">
        <v>176613</v>
      </c>
      <c r="N79" s="6">
        <v>0.12</v>
      </c>
      <c r="O79" s="3">
        <v>121579.81</v>
      </c>
      <c r="P79" s="4">
        <v>883065</v>
      </c>
      <c r="Q79" s="4">
        <v>777097.2</v>
      </c>
      <c r="R79" s="4">
        <v>169198.15</v>
      </c>
      <c r="S79" s="3" t="s">
        <v>52</v>
      </c>
    </row>
    <row r="80" spans="1:19" ht="15.75" customHeight="1">
      <c r="A80" s="2">
        <v>45488</v>
      </c>
      <c r="B80" s="3">
        <v>2024</v>
      </c>
      <c r="C80" s="3" t="s">
        <v>72</v>
      </c>
      <c r="D80" s="3" t="s">
        <v>73</v>
      </c>
      <c r="E80" s="3" t="s">
        <v>23</v>
      </c>
      <c r="F80" s="3" t="s">
        <v>65</v>
      </c>
      <c r="G80" s="3" t="s">
        <v>133</v>
      </c>
      <c r="H80" s="3" t="s">
        <v>96</v>
      </c>
      <c r="I80" s="3" t="s">
        <v>47</v>
      </c>
      <c r="J80" s="3" t="s">
        <v>83</v>
      </c>
      <c r="K80" s="3" t="s">
        <v>40</v>
      </c>
      <c r="L80" s="3">
        <v>18</v>
      </c>
      <c r="M80" s="4">
        <v>104259</v>
      </c>
      <c r="N80" s="6">
        <v>0.2</v>
      </c>
      <c r="O80" s="3">
        <v>63765.83</v>
      </c>
      <c r="P80" s="4">
        <v>1876662</v>
      </c>
      <c r="Q80" s="4">
        <v>1501329.6</v>
      </c>
      <c r="R80" s="4">
        <v>353544.66</v>
      </c>
      <c r="S80" s="3" t="s">
        <v>32</v>
      </c>
    </row>
    <row r="81" spans="1:19" ht="15.75" customHeight="1">
      <c r="A81" s="2">
        <v>45524</v>
      </c>
      <c r="B81" s="3">
        <v>2024</v>
      </c>
      <c r="C81" s="3" t="s">
        <v>78</v>
      </c>
      <c r="D81" s="3" t="s">
        <v>73</v>
      </c>
      <c r="E81" s="3" t="s">
        <v>79</v>
      </c>
      <c r="F81" s="3" t="s">
        <v>65</v>
      </c>
      <c r="G81" s="3" t="s">
        <v>146</v>
      </c>
      <c r="H81" s="3" t="s">
        <v>48</v>
      </c>
      <c r="I81" s="3" t="s">
        <v>49</v>
      </c>
      <c r="J81" s="3" t="s">
        <v>50</v>
      </c>
      <c r="K81" s="3" t="s">
        <v>61</v>
      </c>
      <c r="L81" s="3">
        <v>37</v>
      </c>
      <c r="M81" s="4">
        <v>96286</v>
      </c>
      <c r="N81" s="6">
        <v>0.1</v>
      </c>
      <c r="O81" s="3">
        <v>75604.039999999994</v>
      </c>
      <c r="P81" s="4">
        <v>3562582</v>
      </c>
      <c r="Q81" s="4">
        <v>3206323.8</v>
      </c>
      <c r="R81" s="4">
        <v>408974.32</v>
      </c>
      <c r="S81" s="3" t="s">
        <v>70</v>
      </c>
    </row>
    <row r="82" spans="1:19" ht="15.75" customHeight="1">
      <c r="A82" s="2">
        <v>45541</v>
      </c>
      <c r="B82" s="3">
        <v>2024</v>
      </c>
      <c r="C82" s="3" t="s">
        <v>85</v>
      </c>
      <c r="D82" s="3" t="s">
        <v>73</v>
      </c>
      <c r="E82" s="3" t="s">
        <v>23</v>
      </c>
      <c r="F82" s="3" t="s">
        <v>147</v>
      </c>
      <c r="G82" s="3" t="s">
        <v>138</v>
      </c>
      <c r="H82" s="3" t="s">
        <v>26</v>
      </c>
      <c r="I82" s="3" t="s">
        <v>122</v>
      </c>
      <c r="J82" s="3" t="s">
        <v>28</v>
      </c>
      <c r="K82" s="3" t="s">
        <v>61</v>
      </c>
      <c r="L82" s="3">
        <v>34</v>
      </c>
      <c r="M82" s="4">
        <v>53614</v>
      </c>
      <c r="N82" s="6">
        <v>0.2</v>
      </c>
      <c r="O82" s="3">
        <v>31396.13</v>
      </c>
      <c r="P82" s="4">
        <v>1822876</v>
      </c>
      <c r="Q82" s="4">
        <v>1458300.8</v>
      </c>
      <c r="R82" s="4">
        <v>390832.38</v>
      </c>
      <c r="S82" s="3" t="s">
        <v>62</v>
      </c>
    </row>
    <row r="83" spans="1:19" ht="15.75" customHeight="1">
      <c r="A83" s="2">
        <v>45583</v>
      </c>
      <c r="B83" s="3">
        <v>2024</v>
      </c>
      <c r="C83" s="3" t="s">
        <v>88</v>
      </c>
      <c r="D83" s="3" t="s">
        <v>89</v>
      </c>
      <c r="E83" s="3" t="s">
        <v>90</v>
      </c>
      <c r="F83" s="3" t="s">
        <v>65</v>
      </c>
      <c r="G83" s="3" t="s">
        <v>123</v>
      </c>
      <c r="H83" s="3" t="s">
        <v>82</v>
      </c>
      <c r="I83" s="3" t="s">
        <v>47</v>
      </c>
      <c r="J83" s="3" t="s">
        <v>83</v>
      </c>
      <c r="K83" s="3" t="s">
        <v>67</v>
      </c>
      <c r="L83" s="3">
        <v>39</v>
      </c>
      <c r="M83" s="4">
        <v>99388</v>
      </c>
      <c r="N83" s="6">
        <v>0.1</v>
      </c>
      <c r="O83" s="3">
        <v>76614.36</v>
      </c>
      <c r="P83" s="4">
        <v>3876132</v>
      </c>
      <c r="Q83" s="4">
        <v>3488518.8</v>
      </c>
      <c r="R83" s="4">
        <v>500558.76</v>
      </c>
      <c r="S83" s="3" t="s">
        <v>62</v>
      </c>
    </row>
    <row r="84" spans="1:19" ht="15.75" customHeight="1">
      <c r="A84" s="2">
        <v>45614</v>
      </c>
      <c r="B84" s="3">
        <v>2024</v>
      </c>
      <c r="C84" s="3" t="s">
        <v>93</v>
      </c>
      <c r="D84" s="3" t="s">
        <v>89</v>
      </c>
      <c r="E84" s="3" t="s">
        <v>34</v>
      </c>
      <c r="F84" s="3" t="s">
        <v>24</v>
      </c>
      <c r="G84" s="3" t="s">
        <v>119</v>
      </c>
      <c r="H84" s="3" t="s">
        <v>112</v>
      </c>
      <c r="I84" s="3" t="s">
        <v>113</v>
      </c>
      <c r="J84" s="3" t="s">
        <v>114</v>
      </c>
      <c r="K84" s="3" t="s">
        <v>67</v>
      </c>
      <c r="L84" s="3">
        <v>34</v>
      </c>
      <c r="M84" s="4">
        <v>122993</v>
      </c>
      <c r="N84" s="6">
        <v>0</v>
      </c>
      <c r="O84" s="3">
        <v>70955.789999999994</v>
      </c>
      <c r="P84" s="4">
        <v>4181762</v>
      </c>
      <c r="Q84" s="4">
        <v>4181762</v>
      </c>
      <c r="R84" s="4">
        <v>1769265.14</v>
      </c>
      <c r="S84" s="3" t="s">
        <v>41</v>
      </c>
    </row>
    <row r="85" spans="1:19" ht="15.75" customHeight="1">
      <c r="A85" s="2">
        <v>45629</v>
      </c>
      <c r="B85" s="3">
        <v>2024</v>
      </c>
      <c r="C85" s="3" t="s">
        <v>99</v>
      </c>
      <c r="D85" s="3" t="s">
        <v>89</v>
      </c>
      <c r="E85" s="3" t="s">
        <v>55</v>
      </c>
      <c r="F85" s="3" t="s">
        <v>45</v>
      </c>
      <c r="G85" s="3" t="s">
        <v>87</v>
      </c>
      <c r="H85" s="3" t="s">
        <v>96</v>
      </c>
      <c r="I85" s="3" t="s">
        <v>38</v>
      </c>
      <c r="J85" s="3" t="s">
        <v>83</v>
      </c>
      <c r="K85" s="3" t="s">
        <v>40</v>
      </c>
      <c r="L85" s="3">
        <v>340</v>
      </c>
      <c r="M85" s="4">
        <v>174013</v>
      </c>
      <c r="N85" s="6">
        <v>0.08</v>
      </c>
      <c r="O85" s="3">
        <v>87700.55</v>
      </c>
      <c r="P85" s="4">
        <v>59164420</v>
      </c>
      <c r="Q85" s="4">
        <v>54431266.399999999</v>
      </c>
      <c r="R85" s="4">
        <v>24613079.399999999</v>
      </c>
      <c r="S85" s="3" t="s">
        <v>41</v>
      </c>
    </row>
    <row r="86" spans="1:19" ht="15.75" customHeight="1">
      <c r="A86" s="2">
        <v>45305</v>
      </c>
      <c r="B86" s="3">
        <v>2024</v>
      </c>
      <c r="C86" s="3" t="s">
        <v>21</v>
      </c>
      <c r="D86" s="3" t="s">
        <v>22</v>
      </c>
      <c r="E86" s="3" t="s">
        <v>55</v>
      </c>
      <c r="F86" s="3" t="s">
        <v>95</v>
      </c>
      <c r="G86" s="3" t="s">
        <v>155</v>
      </c>
      <c r="H86" s="3" t="s">
        <v>44</v>
      </c>
      <c r="I86" s="3" t="s">
        <v>38</v>
      </c>
      <c r="J86" s="3" t="s">
        <v>153</v>
      </c>
      <c r="K86" s="3" t="s">
        <v>61</v>
      </c>
      <c r="L86" s="3">
        <v>40</v>
      </c>
      <c r="M86" s="4">
        <v>129683</v>
      </c>
      <c r="N86" s="6">
        <v>0.15</v>
      </c>
      <c r="O86" s="3">
        <v>72403.8</v>
      </c>
      <c r="P86" s="4">
        <v>5187320</v>
      </c>
      <c r="Q86" s="4">
        <v>4409222</v>
      </c>
      <c r="R86" s="4">
        <v>1513070</v>
      </c>
      <c r="S86" s="3" t="s">
        <v>70</v>
      </c>
    </row>
    <row r="87" spans="1:19" ht="15.75" customHeight="1">
      <c r="A87" s="2">
        <v>45347</v>
      </c>
      <c r="B87" s="3">
        <v>2024</v>
      </c>
      <c r="C87" s="3" t="s">
        <v>33</v>
      </c>
      <c r="D87" s="3" t="s">
        <v>22</v>
      </c>
      <c r="E87" s="3" t="s">
        <v>55</v>
      </c>
      <c r="F87" s="3" t="s">
        <v>65</v>
      </c>
      <c r="G87" s="3" t="s">
        <v>169</v>
      </c>
      <c r="H87" s="3" t="s">
        <v>75</v>
      </c>
      <c r="I87" s="3" t="s">
        <v>38</v>
      </c>
      <c r="J87" s="3" t="s">
        <v>76</v>
      </c>
      <c r="K87" s="3" t="s">
        <v>40</v>
      </c>
      <c r="L87" s="3">
        <v>13</v>
      </c>
      <c r="M87" s="4">
        <v>48280</v>
      </c>
      <c r="N87" s="6">
        <v>0</v>
      </c>
      <c r="O87" s="3">
        <v>32560.639999999999</v>
      </c>
      <c r="P87" s="4">
        <v>627640</v>
      </c>
      <c r="Q87" s="4">
        <v>627640</v>
      </c>
      <c r="R87" s="4">
        <v>204351.68</v>
      </c>
      <c r="S87" s="3" t="s">
        <v>62</v>
      </c>
    </row>
    <row r="88" spans="1:19" ht="15.75" customHeight="1">
      <c r="A88" s="2">
        <v>45376</v>
      </c>
      <c r="B88" s="3">
        <v>2024</v>
      </c>
      <c r="C88" s="3" t="s">
        <v>42</v>
      </c>
      <c r="D88" s="3" t="s">
        <v>22</v>
      </c>
      <c r="E88" s="3" t="s">
        <v>64</v>
      </c>
      <c r="F88" s="3" t="s">
        <v>80</v>
      </c>
      <c r="G88" s="3" t="s">
        <v>100</v>
      </c>
      <c r="H88" s="3" t="s">
        <v>82</v>
      </c>
      <c r="I88" s="3" t="s">
        <v>38</v>
      </c>
      <c r="J88" s="3" t="s">
        <v>83</v>
      </c>
      <c r="K88" s="3" t="s">
        <v>29</v>
      </c>
      <c r="L88" s="3">
        <v>28</v>
      </c>
      <c r="M88" s="4">
        <v>70205</v>
      </c>
      <c r="N88" s="6"/>
      <c r="O88" s="3">
        <v>54455.57</v>
      </c>
      <c r="P88" s="4">
        <v>1965740</v>
      </c>
      <c r="Q88" s="4">
        <v>1965740</v>
      </c>
      <c r="R88" s="4">
        <v>440984.04</v>
      </c>
      <c r="S88" s="3" t="s">
        <v>70</v>
      </c>
    </row>
    <row r="89" spans="1:19" ht="15.75" customHeight="1">
      <c r="A89" s="2">
        <v>45383</v>
      </c>
      <c r="B89" s="3">
        <v>2024</v>
      </c>
      <c r="C89" s="3" t="s">
        <v>53</v>
      </c>
      <c r="D89" s="3" t="s">
        <v>54</v>
      </c>
      <c r="E89" s="3" t="s">
        <v>55</v>
      </c>
      <c r="F89" s="3" t="s">
        <v>45</v>
      </c>
      <c r="G89" s="3" t="s">
        <v>151</v>
      </c>
      <c r="H89" s="3" t="s">
        <v>58</v>
      </c>
      <c r="I89" s="3" t="s">
        <v>47</v>
      </c>
      <c r="J89" s="3" t="s">
        <v>60</v>
      </c>
      <c r="K89" s="3" t="s">
        <v>40</v>
      </c>
      <c r="L89" s="3">
        <v>10</v>
      </c>
      <c r="M89" s="4">
        <v>87203</v>
      </c>
      <c r="N89" s="6">
        <v>0.12</v>
      </c>
      <c r="O89" s="3">
        <v>60486.2</v>
      </c>
      <c r="P89" s="4">
        <v>872030</v>
      </c>
      <c r="Q89" s="4">
        <v>767386.4</v>
      </c>
      <c r="R89" s="4">
        <v>162524.4</v>
      </c>
      <c r="S89" s="3" t="s">
        <v>41</v>
      </c>
    </row>
    <row r="90" spans="1:19" ht="15.75" customHeight="1">
      <c r="A90" s="2">
        <v>45419</v>
      </c>
      <c r="B90" s="3">
        <v>2024</v>
      </c>
      <c r="C90" s="3" t="s">
        <v>63</v>
      </c>
      <c r="D90" s="3" t="s">
        <v>54</v>
      </c>
      <c r="E90" s="3" t="s">
        <v>43</v>
      </c>
      <c r="F90" s="3" t="s">
        <v>147</v>
      </c>
      <c r="G90" s="3" t="s">
        <v>121</v>
      </c>
      <c r="H90" s="3" t="s">
        <v>112</v>
      </c>
      <c r="I90" s="3" t="s">
        <v>27</v>
      </c>
      <c r="J90" s="3" t="s">
        <v>114</v>
      </c>
      <c r="K90" s="3" t="s">
        <v>61</v>
      </c>
      <c r="L90" s="3">
        <v>8</v>
      </c>
      <c r="M90" s="4">
        <v>74295</v>
      </c>
      <c r="N90" s="6">
        <v>0</v>
      </c>
      <c r="O90" s="3">
        <v>39632.949999999997</v>
      </c>
      <c r="P90" s="4">
        <v>594360</v>
      </c>
      <c r="Q90" s="4">
        <v>594360</v>
      </c>
      <c r="R90" s="4">
        <v>277296.40000000002</v>
      </c>
      <c r="S90" s="3" t="s">
        <v>149</v>
      </c>
    </row>
    <row r="91" spans="1:19" ht="15.75" customHeight="1">
      <c r="A91" s="2">
        <v>45444</v>
      </c>
      <c r="B91" s="3">
        <v>2024</v>
      </c>
      <c r="C91" s="3" t="s">
        <v>68</v>
      </c>
      <c r="D91" s="3" t="s">
        <v>54</v>
      </c>
      <c r="E91" s="3" t="s">
        <v>90</v>
      </c>
      <c r="F91" s="3" t="s">
        <v>132</v>
      </c>
      <c r="G91" s="3" t="s">
        <v>170</v>
      </c>
      <c r="H91" s="3" t="s">
        <v>108</v>
      </c>
      <c r="I91" s="3" t="s">
        <v>59</v>
      </c>
      <c r="J91" s="3" t="s">
        <v>110</v>
      </c>
      <c r="K91" s="3" t="s">
        <v>84</v>
      </c>
      <c r="L91" s="3">
        <v>280</v>
      </c>
      <c r="M91" s="4">
        <v>75062</v>
      </c>
      <c r="N91" s="6">
        <v>0.1</v>
      </c>
      <c r="O91" s="3">
        <v>51232.06</v>
      </c>
      <c r="P91" s="4">
        <v>21017360</v>
      </c>
      <c r="Q91" s="4">
        <v>18915624</v>
      </c>
      <c r="R91" s="4">
        <v>4570647.2</v>
      </c>
      <c r="S91" s="3" t="s">
        <v>32</v>
      </c>
    </row>
    <row r="92" spans="1:19" ht="15.75" customHeight="1">
      <c r="A92" s="2">
        <v>45474</v>
      </c>
      <c r="B92" s="3">
        <v>2024</v>
      </c>
      <c r="C92" s="3" t="s">
        <v>72</v>
      </c>
      <c r="D92" s="3" t="s">
        <v>73</v>
      </c>
      <c r="E92" s="3" t="s">
        <v>34</v>
      </c>
      <c r="F92" s="3" t="s">
        <v>91</v>
      </c>
      <c r="G92" s="3" t="s">
        <v>157</v>
      </c>
      <c r="H92" s="3" t="s">
        <v>108</v>
      </c>
      <c r="I92" s="3" t="s">
        <v>47</v>
      </c>
      <c r="J92" s="3" t="s">
        <v>110</v>
      </c>
      <c r="K92" s="3" t="s">
        <v>84</v>
      </c>
      <c r="L92" s="3">
        <v>17</v>
      </c>
      <c r="M92" s="4">
        <v>105610</v>
      </c>
      <c r="N92" s="6"/>
      <c r="O92" s="3">
        <v>56437.36</v>
      </c>
      <c r="P92" s="4">
        <v>1795370</v>
      </c>
      <c r="Q92" s="4">
        <v>1795370</v>
      </c>
      <c r="R92" s="4">
        <v>835934.88</v>
      </c>
      <c r="S92" s="3" t="s">
        <v>149</v>
      </c>
    </row>
    <row r="93" spans="1:19" ht="15.75" customHeight="1">
      <c r="A93" s="2">
        <v>45522</v>
      </c>
      <c r="B93" s="3">
        <v>2024</v>
      </c>
      <c r="C93" s="3" t="s">
        <v>78</v>
      </c>
      <c r="D93" s="3" t="s">
        <v>73</v>
      </c>
      <c r="E93" s="3" t="s">
        <v>55</v>
      </c>
      <c r="F93" s="3" t="s">
        <v>101</v>
      </c>
      <c r="G93" s="3" t="s">
        <v>154</v>
      </c>
      <c r="H93" s="3" t="s">
        <v>120</v>
      </c>
      <c r="I93" s="3" t="s">
        <v>27</v>
      </c>
      <c r="J93" s="3" t="s">
        <v>114</v>
      </c>
      <c r="K93" s="3" t="s">
        <v>67</v>
      </c>
      <c r="L93" s="3">
        <v>31</v>
      </c>
      <c r="M93" s="4">
        <v>47350</v>
      </c>
      <c r="N93" s="6">
        <v>0.12</v>
      </c>
      <c r="O93" s="3">
        <v>21920.41</v>
      </c>
      <c r="P93" s="4">
        <v>1467850</v>
      </c>
      <c r="Q93" s="4">
        <v>1291708</v>
      </c>
      <c r="R93" s="4">
        <v>612175.29</v>
      </c>
      <c r="S93" s="3" t="s">
        <v>41</v>
      </c>
    </row>
    <row r="94" spans="1:19" ht="15.75" customHeight="1">
      <c r="A94" s="2">
        <v>45562</v>
      </c>
      <c r="B94" s="3">
        <v>2024</v>
      </c>
      <c r="C94" s="3" t="s">
        <v>85</v>
      </c>
      <c r="D94" s="3" t="s">
        <v>73</v>
      </c>
      <c r="E94" s="3" t="s">
        <v>79</v>
      </c>
      <c r="F94" s="3" t="s">
        <v>65</v>
      </c>
      <c r="G94" s="3" t="s">
        <v>171</v>
      </c>
      <c r="H94" s="3" t="s">
        <v>102</v>
      </c>
      <c r="I94" s="3" t="s">
        <v>103</v>
      </c>
      <c r="J94" s="3" t="s">
        <v>104</v>
      </c>
      <c r="K94" s="3" t="s">
        <v>40</v>
      </c>
      <c r="L94" s="3">
        <v>13</v>
      </c>
      <c r="M94" s="4">
        <v>24531</v>
      </c>
      <c r="N94" s="6"/>
      <c r="O94" s="3">
        <v>13384.75</v>
      </c>
      <c r="P94" s="4">
        <v>318903</v>
      </c>
      <c r="Q94" s="4">
        <v>318903</v>
      </c>
      <c r="R94" s="4">
        <v>144901.25</v>
      </c>
      <c r="S94" s="3" t="s">
        <v>62</v>
      </c>
    </row>
    <row r="95" spans="1:19" ht="15.75" customHeight="1">
      <c r="A95" s="2">
        <v>45581</v>
      </c>
      <c r="B95" s="3">
        <v>2024</v>
      </c>
      <c r="C95" s="3" t="s">
        <v>88</v>
      </c>
      <c r="D95" s="3" t="s">
        <v>89</v>
      </c>
      <c r="E95" s="3" t="s">
        <v>90</v>
      </c>
      <c r="F95" s="3" t="s">
        <v>65</v>
      </c>
      <c r="G95" s="3" t="s">
        <v>148</v>
      </c>
      <c r="H95" s="3" t="s">
        <v>96</v>
      </c>
      <c r="I95" s="3" t="s">
        <v>59</v>
      </c>
      <c r="J95" s="3" t="s">
        <v>83</v>
      </c>
      <c r="K95" s="3" t="s">
        <v>84</v>
      </c>
      <c r="L95" s="3">
        <v>6</v>
      </c>
      <c r="M95" s="4">
        <v>32690</v>
      </c>
      <c r="N95" s="6">
        <v>0.1</v>
      </c>
      <c r="O95" s="3">
        <v>20951.55</v>
      </c>
      <c r="P95" s="4">
        <v>196140</v>
      </c>
      <c r="Q95" s="4">
        <v>176526</v>
      </c>
      <c r="R95" s="4">
        <v>50816.7</v>
      </c>
      <c r="S95" s="3" t="s">
        <v>62</v>
      </c>
    </row>
    <row r="96" spans="1:19" ht="15.75" customHeight="1">
      <c r="A96" s="2">
        <v>45602</v>
      </c>
      <c r="B96" s="3">
        <v>2024</v>
      </c>
      <c r="C96" s="3" t="s">
        <v>93</v>
      </c>
      <c r="D96" s="3" t="s">
        <v>89</v>
      </c>
      <c r="E96" s="3" t="s">
        <v>90</v>
      </c>
      <c r="F96" s="3" t="s">
        <v>65</v>
      </c>
      <c r="G96" s="3" t="s">
        <v>172</v>
      </c>
      <c r="H96" s="3" t="s">
        <v>102</v>
      </c>
      <c r="I96" s="3" t="s">
        <v>124</v>
      </c>
      <c r="J96" s="3" t="s">
        <v>104</v>
      </c>
      <c r="K96" s="3" t="s">
        <v>105</v>
      </c>
      <c r="L96" s="3">
        <v>23</v>
      </c>
      <c r="M96" s="4">
        <v>126017</v>
      </c>
      <c r="N96" s="6">
        <v>0</v>
      </c>
      <c r="O96" s="3">
        <v>60017.41</v>
      </c>
      <c r="P96" s="4">
        <v>2898391</v>
      </c>
      <c r="Q96" s="4">
        <v>2898391</v>
      </c>
      <c r="R96" s="4">
        <v>1517990.57</v>
      </c>
      <c r="S96" s="3" t="s">
        <v>149</v>
      </c>
    </row>
    <row r="97" spans="1:19" ht="15.75" customHeight="1">
      <c r="A97" s="2">
        <v>45654</v>
      </c>
      <c r="B97" s="3">
        <v>2024</v>
      </c>
      <c r="C97" s="3" t="s">
        <v>99</v>
      </c>
      <c r="D97" s="3" t="s">
        <v>89</v>
      </c>
      <c r="E97" s="3" t="s">
        <v>79</v>
      </c>
      <c r="F97" s="3" t="s">
        <v>24</v>
      </c>
      <c r="G97" s="3" t="s">
        <v>171</v>
      </c>
      <c r="H97" s="3" t="s">
        <v>96</v>
      </c>
      <c r="I97" s="3" t="s">
        <v>47</v>
      </c>
      <c r="J97" s="3" t="s">
        <v>83</v>
      </c>
      <c r="K97" s="3" t="s">
        <v>29</v>
      </c>
      <c r="L97" s="3">
        <v>5</v>
      </c>
      <c r="M97" s="4">
        <v>108030</v>
      </c>
      <c r="N97" s="6">
        <v>0</v>
      </c>
      <c r="O97" s="3">
        <v>71492.44</v>
      </c>
      <c r="P97" s="4">
        <v>540150</v>
      </c>
      <c r="Q97" s="4">
        <v>540150</v>
      </c>
      <c r="R97" s="4">
        <v>182687.8</v>
      </c>
      <c r="S97" s="3" t="s">
        <v>149</v>
      </c>
    </row>
    <row r="98" spans="1:19" ht="15.75" customHeight="1">
      <c r="A98" s="2">
        <v>45303</v>
      </c>
      <c r="B98" s="3">
        <v>2024</v>
      </c>
      <c r="C98" s="3" t="s">
        <v>21</v>
      </c>
      <c r="D98" s="3" t="s">
        <v>22</v>
      </c>
      <c r="E98" s="3" t="s">
        <v>34</v>
      </c>
      <c r="F98" s="3" t="s">
        <v>80</v>
      </c>
      <c r="G98" s="3" t="s">
        <v>25</v>
      </c>
      <c r="H98" s="3" t="s">
        <v>108</v>
      </c>
      <c r="I98" s="3" t="s">
        <v>38</v>
      </c>
      <c r="J98" s="3" t="s">
        <v>110</v>
      </c>
      <c r="K98" s="3" t="s">
        <v>105</v>
      </c>
      <c r="L98" s="3">
        <v>2</v>
      </c>
      <c r="M98" s="4">
        <v>142821</v>
      </c>
      <c r="N98" s="6">
        <v>0.05</v>
      </c>
      <c r="O98" s="3">
        <v>77354.97</v>
      </c>
      <c r="P98" s="4">
        <v>285642</v>
      </c>
      <c r="Q98" s="4">
        <v>271359.90000000002</v>
      </c>
      <c r="R98" s="4">
        <v>116649.96</v>
      </c>
      <c r="S98" s="3" t="s">
        <v>62</v>
      </c>
    </row>
    <row r="99" spans="1:19" ht="15.75" customHeight="1">
      <c r="A99" s="2">
        <v>45326</v>
      </c>
      <c r="B99" s="3">
        <v>2024</v>
      </c>
      <c r="C99" s="3" t="s">
        <v>33</v>
      </c>
      <c r="D99" s="3" t="s">
        <v>22</v>
      </c>
      <c r="E99" s="3" t="s">
        <v>64</v>
      </c>
      <c r="F99" s="3" t="s">
        <v>165</v>
      </c>
      <c r="G99" s="3" t="s">
        <v>173</v>
      </c>
      <c r="H99" s="3" t="s">
        <v>58</v>
      </c>
      <c r="I99" s="3" t="s">
        <v>59</v>
      </c>
      <c r="J99" s="3" t="s">
        <v>60</v>
      </c>
      <c r="K99" s="3" t="s">
        <v>67</v>
      </c>
      <c r="L99" s="3">
        <v>29</v>
      </c>
      <c r="M99" s="4">
        <v>95778</v>
      </c>
      <c r="N99" s="6">
        <v>0.05</v>
      </c>
      <c r="O99" s="3">
        <v>61537.27</v>
      </c>
      <c r="P99" s="4">
        <v>2777562</v>
      </c>
      <c r="Q99" s="4">
        <v>2638683.9</v>
      </c>
      <c r="R99" s="4">
        <v>854103.07</v>
      </c>
      <c r="S99" s="3" t="s">
        <v>62</v>
      </c>
    </row>
    <row r="100" spans="1:19" ht="15.75" customHeight="1">
      <c r="A100" s="2">
        <v>45377</v>
      </c>
      <c r="B100" s="3">
        <v>2024</v>
      </c>
      <c r="C100" s="3" t="s">
        <v>42</v>
      </c>
      <c r="D100" s="3" t="s">
        <v>22</v>
      </c>
      <c r="E100" s="3" t="s">
        <v>55</v>
      </c>
      <c r="F100" s="3" t="s">
        <v>132</v>
      </c>
      <c r="G100" s="3" t="s">
        <v>131</v>
      </c>
      <c r="H100" s="3" t="s">
        <v>96</v>
      </c>
      <c r="I100" s="3" t="s">
        <v>59</v>
      </c>
      <c r="J100" s="3" t="s">
        <v>83</v>
      </c>
      <c r="K100" s="3" t="s">
        <v>29</v>
      </c>
      <c r="L100" s="3">
        <v>9</v>
      </c>
      <c r="M100" s="4">
        <v>566016</v>
      </c>
      <c r="N100" s="6"/>
      <c r="O100" s="3">
        <v>347302.91</v>
      </c>
      <c r="P100" s="4">
        <v>5094144</v>
      </c>
      <c r="Q100" s="4">
        <v>5094144</v>
      </c>
      <c r="R100" s="4">
        <v>1968417.81</v>
      </c>
      <c r="S100" s="3" t="s">
        <v>52</v>
      </c>
    </row>
    <row r="101" spans="1:19" ht="15.75" customHeight="1">
      <c r="A101" s="2">
        <v>45398</v>
      </c>
      <c r="B101" s="3">
        <v>2024</v>
      </c>
      <c r="C101" s="3" t="s">
        <v>53</v>
      </c>
      <c r="D101" s="3" t="s">
        <v>54</v>
      </c>
      <c r="E101" s="3" t="s">
        <v>79</v>
      </c>
      <c r="F101" s="3" t="s">
        <v>65</v>
      </c>
      <c r="G101" s="3" t="s">
        <v>139</v>
      </c>
      <c r="H101" s="3" t="s">
        <v>37</v>
      </c>
      <c r="I101" s="3" t="s">
        <v>47</v>
      </c>
      <c r="J101" s="3" t="s">
        <v>39</v>
      </c>
      <c r="K101" s="3" t="s">
        <v>29</v>
      </c>
      <c r="L101" s="3">
        <v>21</v>
      </c>
      <c r="M101" s="4">
        <v>129958</v>
      </c>
      <c r="N101" s="6"/>
      <c r="O101" s="3">
        <v>64318.44</v>
      </c>
      <c r="P101" s="4">
        <v>2729118</v>
      </c>
      <c r="Q101" s="4">
        <v>2729118</v>
      </c>
      <c r="R101" s="4">
        <v>1378430.76</v>
      </c>
      <c r="S101" s="3" t="s">
        <v>52</v>
      </c>
    </row>
    <row r="102" spans="1:19" ht="15.75" customHeight="1">
      <c r="A102" s="2">
        <v>45429</v>
      </c>
      <c r="B102" s="3">
        <v>2024</v>
      </c>
      <c r="C102" s="3" t="s">
        <v>63</v>
      </c>
      <c r="D102" s="3" t="s">
        <v>54</v>
      </c>
      <c r="E102" s="3" t="s">
        <v>64</v>
      </c>
      <c r="F102" s="3" t="s">
        <v>86</v>
      </c>
      <c r="G102" s="3" t="s">
        <v>169</v>
      </c>
      <c r="H102" s="3" t="s">
        <v>82</v>
      </c>
      <c r="I102" s="3" t="s">
        <v>47</v>
      </c>
      <c r="J102" s="3" t="s">
        <v>83</v>
      </c>
      <c r="K102" s="3" t="s">
        <v>84</v>
      </c>
      <c r="L102" s="3">
        <v>15</v>
      </c>
      <c r="M102" s="4">
        <v>148025</v>
      </c>
      <c r="N102" s="6">
        <v>0.05</v>
      </c>
      <c r="O102" s="3">
        <v>79594.8</v>
      </c>
      <c r="P102" s="4">
        <v>2220375</v>
      </c>
      <c r="Q102" s="4">
        <v>2109356.25</v>
      </c>
      <c r="R102" s="4">
        <v>915434.25</v>
      </c>
      <c r="S102" s="3" t="s">
        <v>149</v>
      </c>
    </row>
    <row r="103" spans="1:19" ht="15.75" customHeight="1">
      <c r="A103" s="2">
        <v>45464</v>
      </c>
      <c r="B103" s="3">
        <v>2024</v>
      </c>
      <c r="C103" s="3" t="s">
        <v>68</v>
      </c>
      <c r="D103" s="3" t="s">
        <v>54</v>
      </c>
      <c r="E103" s="3" t="s">
        <v>64</v>
      </c>
      <c r="F103" s="3" t="s">
        <v>132</v>
      </c>
      <c r="G103" s="3" t="s">
        <v>174</v>
      </c>
      <c r="H103" s="3" t="s">
        <v>108</v>
      </c>
      <c r="I103" s="3" t="s">
        <v>47</v>
      </c>
      <c r="J103" s="3" t="s">
        <v>110</v>
      </c>
      <c r="K103" s="3" t="s">
        <v>67</v>
      </c>
      <c r="L103" s="3">
        <v>40</v>
      </c>
      <c r="M103" s="4">
        <v>170633</v>
      </c>
      <c r="N103" s="6">
        <v>0</v>
      </c>
      <c r="O103" s="3">
        <v>126069.24</v>
      </c>
      <c r="P103" s="4">
        <v>6825320</v>
      </c>
      <c r="Q103" s="4">
        <v>6825320</v>
      </c>
      <c r="R103" s="4">
        <v>1782550.4</v>
      </c>
      <c r="S103" s="3" t="s">
        <v>32</v>
      </c>
    </row>
    <row r="104" spans="1:19" ht="15.75" customHeight="1">
      <c r="A104" s="2">
        <v>45487</v>
      </c>
      <c r="B104" s="3">
        <v>2024</v>
      </c>
      <c r="C104" s="3" t="s">
        <v>72</v>
      </c>
      <c r="D104" s="3" t="s">
        <v>73</v>
      </c>
      <c r="E104" s="3" t="s">
        <v>79</v>
      </c>
      <c r="F104" s="3" t="s">
        <v>101</v>
      </c>
      <c r="G104" s="3" t="s">
        <v>137</v>
      </c>
      <c r="H104" s="3" t="s">
        <v>48</v>
      </c>
      <c r="I104" s="3" t="s">
        <v>103</v>
      </c>
      <c r="J104" s="3" t="s">
        <v>50</v>
      </c>
      <c r="K104" s="3" t="s">
        <v>67</v>
      </c>
      <c r="L104" s="3">
        <v>35</v>
      </c>
      <c r="M104" s="4">
        <v>91192</v>
      </c>
      <c r="N104" s="6">
        <v>0.08</v>
      </c>
      <c r="O104" s="3">
        <v>50529.66</v>
      </c>
      <c r="P104" s="4">
        <v>3191720</v>
      </c>
      <c r="Q104" s="4">
        <v>2936382.4</v>
      </c>
      <c r="R104" s="4">
        <v>1167844.3</v>
      </c>
      <c r="S104" s="3" t="s">
        <v>32</v>
      </c>
    </row>
    <row r="105" spans="1:19" ht="15.75" customHeight="1">
      <c r="A105" s="2">
        <v>45509</v>
      </c>
      <c r="B105" s="3">
        <v>2024</v>
      </c>
      <c r="C105" s="3" t="s">
        <v>78</v>
      </c>
      <c r="D105" s="3" t="s">
        <v>73</v>
      </c>
      <c r="E105" s="3" t="s">
        <v>55</v>
      </c>
      <c r="F105" s="3" t="s">
        <v>24</v>
      </c>
      <c r="G105" s="3" t="s">
        <v>175</v>
      </c>
      <c r="H105" s="3" t="s">
        <v>48</v>
      </c>
      <c r="I105" s="3" t="s">
        <v>103</v>
      </c>
      <c r="J105" s="3" t="s">
        <v>50</v>
      </c>
      <c r="K105" s="3" t="s">
        <v>61</v>
      </c>
      <c r="L105" s="3">
        <v>9</v>
      </c>
      <c r="M105" s="4">
        <v>146998</v>
      </c>
      <c r="N105" s="6"/>
      <c r="O105" s="3">
        <v>78586.34</v>
      </c>
      <c r="P105" s="4">
        <v>1322982</v>
      </c>
      <c r="Q105" s="4">
        <v>1322982</v>
      </c>
      <c r="R105" s="4">
        <v>615704.93999999994</v>
      </c>
      <c r="S105" s="3" t="s">
        <v>32</v>
      </c>
    </row>
    <row r="106" spans="1:19" ht="15.75" customHeight="1">
      <c r="A106" s="2">
        <v>45549</v>
      </c>
      <c r="B106" s="3">
        <v>2024</v>
      </c>
      <c r="C106" s="3" t="s">
        <v>85</v>
      </c>
      <c r="D106" s="3" t="s">
        <v>73</v>
      </c>
      <c r="E106" s="3" t="s">
        <v>64</v>
      </c>
      <c r="F106" s="3" t="s">
        <v>35</v>
      </c>
      <c r="G106" s="3" t="s">
        <v>176</v>
      </c>
      <c r="H106" s="3" t="s">
        <v>48</v>
      </c>
      <c r="I106" s="3" t="s">
        <v>103</v>
      </c>
      <c r="J106" s="3" t="s">
        <v>50</v>
      </c>
      <c r="K106" s="3" t="s">
        <v>29</v>
      </c>
      <c r="L106" s="3">
        <v>11</v>
      </c>
      <c r="M106" s="4">
        <v>146932</v>
      </c>
      <c r="N106" s="6">
        <v>0.2</v>
      </c>
      <c r="O106" s="3">
        <v>91697.26</v>
      </c>
      <c r="P106" s="4">
        <v>1616252</v>
      </c>
      <c r="Q106" s="4">
        <v>1293001.6000000001</v>
      </c>
      <c r="R106" s="4">
        <v>284331.74</v>
      </c>
      <c r="S106" s="3" t="s">
        <v>32</v>
      </c>
    </row>
    <row r="107" spans="1:19" ht="15.75" customHeight="1">
      <c r="A107" s="2">
        <v>45567</v>
      </c>
      <c r="B107" s="3">
        <v>2024</v>
      </c>
      <c r="C107" s="3" t="s">
        <v>88</v>
      </c>
      <c r="D107" s="3" t="s">
        <v>89</v>
      </c>
      <c r="E107" s="3" t="s">
        <v>55</v>
      </c>
      <c r="F107" s="3" t="s">
        <v>65</v>
      </c>
      <c r="G107" s="3" t="s">
        <v>177</v>
      </c>
      <c r="H107" s="3" t="s">
        <v>44</v>
      </c>
      <c r="I107" s="3" t="s">
        <v>59</v>
      </c>
      <c r="J107" s="3" t="s">
        <v>153</v>
      </c>
      <c r="K107" s="3" t="s">
        <v>51</v>
      </c>
      <c r="L107" s="3">
        <v>1</v>
      </c>
      <c r="M107" s="4">
        <v>124965</v>
      </c>
      <c r="N107" s="6">
        <v>0.2</v>
      </c>
      <c r="O107" s="3">
        <v>88053.82</v>
      </c>
      <c r="P107" s="4">
        <v>124965</v>
      </c>
      <c r="Q107" s="4">
        <v>99972</v>
      </c>
      <c r="R107" s="4">
        <v>11918.18</v>
      </c>
      <c r="S107" s="3" t="s">
        <v>70</v>
      </c>
    </row>
    <row r="108" spans="1:19" ht="15.75" customHeight="1">
      <c r="A108" s="2">
        <v>45599</v>
      </c>
      <c r="B108" s="3">
        <v>2024</v>
      </c>
      <c r="C108" s="3" t="s">
        <v>93</v>
      </c>
      <c r="D108" s="3" t="s">
        <v>89</v>
      </c>
      <c r="E108" s="3" t="s">
        <v>34</v>
      </c>
      <c r="F108" s="3" t="s">
        <v>130</v>
      </c>
      <c r="G108" s="3" t="s">
        <v>36</v>
      </c>
      <c r="H108" s="3" t="s">
        <v>112</v>
      </c>
      <c r="I108" s="3" t="s">
        <v>122</v>
      </c>
      <c r="J108" s="3" t="s">
        <v>114</v>
      </c>
      <c r="K108" s="3" t="s">
        <v>40</v>
      </c>
      <c r="L108" s="3">
        <v>40</v>
      </c>
      <c r="M108" s="4">
        <v>43145</v>
      </c>
      <c r="N108" s="6">
        <v>0.05</v>
      </c>
      <c r="O108" s="3">
        <v>25363.49</v>
      </c>
      <c r="P108" s="4">
        <v>1725800</v>
      </c>
      <c r="Q108" s="4">
        <v>1639510</v>
      </c>
      <c r="R108" s="4">
        <v>624970.4</v>
      </c>
      <c r="S108" s="3" t="s">
        <v>62</v>
      </c>
    </row>
    <row r="109" spans="1:19" ht="15.75" customHeight="1">
      <c r="A109" s="2">
        <v>45628</v>
      </c>
      <c r="B109" s="3">
        <v>2024</v>
      </c>
      <c r="C109" s="3" t="s">
        <v>99</v>
      </c>
      <c r="D109" s="3" t="s">
        <v>89</v>
      </c>
      <c r="E109" s="3" t="s">
        <v>23</v>
      </c>
      <c r="F109" s="3" t="s">
        <v>56</v>
      </c>
      <c r="G109" s="3" t="s">
        <v>151</v>
      </c>
      <c r="H109" s="3" t="s">
        <v>108</v>
      </c>
      <c r="I109" s="3" t="s">
        <v>59</v>
      </c>
      <c r="J109" s="3" t="s">
        <v>110</v>
      </c>
      <c r="K109" s="3" t="s">
        <v>40</v>
      </c>
      <c r="L109" s="3">
        <v>31</v>
      </c>
      <c r="M109" s="4">
        <v>51043</v>
      </c>
      <c r="N109" s="6">
        <v>0.1</v>
      </c>
      <c r="O109" s="3">
        <v>28828.48</v>
      </c>
      <c r="P109" s="4">
        <v>1582333</v>
      </c>
      <c r="Q109" s="4">
        <v>1424099.7</v>
      </c>
      <c r="R109" s="4">
        <v>530416.81999999995</v>
      </c>
      <c r="S109" s="3" t="s">
        <v>52</v>
      </c>
    </row>
    <row r="110" spans="1:19" ht="15.75" customHeight="1">
      <c r="A110" s="2">
        <v>45308</v>
      </c>
      <c r="B110" s="3">
        <v>2024</v>
      </c>
      <c r="C110" s="3" t="s">
        <v>21</v>
      </c>
      <c r="D110" s="3" t="s">
        <v>22</v>
      </c>
      <c r="E110" s="3" t="s">
        <v>43</v>
      </c>
      <c r="F110" s="3" t="s">
        <v>130</v>
      </c>
      <c r="G110" s="3" t="s">
        <v>133</v>
      </c>
      <c r="H110" s="3" t="s">
        <v>120</v>
      </c>
      <c r="I110" s="3" t="s">
        <v>27</v>
      </c>
      <c r="J110" s="3" t="s">
        <v>114</v>
      </c>
      <c r="K110" s="3" t="s">
        <v>61</v>
      </c>
      <c r="L110" s="3">
        <v>2</v>
      </c>
      <c r="M110" s="4">
        <v>40732</v>
      </c>
      <c r="N110" s="6">
        <v>0.2</v>
      </c>
      <c r="O110" s="3">
        <v>29688.1</v>
      </c>
      <c r="P110" s="4">
        <v>81464</v>
      </c>
      <c r="Q110" s="4">
        <v>65171.199999999997</v>
      </c>
      <c r="R110" s="4">
        <v>5795</v>
      </c>
      <c r="S110" s="3" t="s">
        <v>149</v>
      </c>
    </row>
    <row r="111" spans="1:19" ht="15.75" customHeight="1">
      <c r="A111" s="2">
        <v>45341</v>
      </c>
      <c r="B111" s="3">
        <v>2024</v>
      </c>
      <c r="C111" s="3" t="s">
        <v>33</v>
      </c>
      <c r="D111" s="3" t="s">
        <v>22</v>
      </c>
      <c r="E111" s="3" t="s">
        <v>64</v>
      </c>
      <c r="F111" s="3" t="s">
        <v>101</v>
      </c>
      <c r="G111" s="3" t="s">
        <v>156</v>
      </c>
      <c r="H111" s="3" t="s">
        <v>48</v>
      </c>
      <c r="I111" s="3" t="s">
        <v>103</v>
      </c>
      <c r="J111" s="3" t="s">
        <v>50</v>
      </c>
      <c r="K111" s="3" t="s">
        <v>29</v>
      </c>
      <c r="L111" s="3">
        <v>34</v>
      </c>
      <c r="M111" s="4">
        <v>174460</v>
      </c>
      <c r="N111" s="6">
        <v>0.08</v>
      </c>
      <c r="O111" s="3">
        <v>87530.33</v>
      </c>
      <c r="P111" s="4">
        <v>5931640</v>
      </c>
      <c r="Q111" s="4">
        <v>5457108.7999999998</v>
      </c>
      <c r="R111" s="4">
        <v>2481077.58</v>
      </c>
      <c r="S111" s="3" t="s">
        <v>149</v>
      </c>
    </row>
    <row r="112" spans="1:19" ht="15.75" customHeight="1">
      <c r="A112" s="2">
        <v>45365</v>
      </c>
      <c r="B112" s="3">
        <v>2024</v>
      </c>
      <c r="C112" s="3" t="s">
        <v>42</v>
      </c>
      <c r="D112" s="3" t="s">
        <v>22</v>
      </c>
      <c r="E112" s="3" t="s">
        <v>64</v>
      </c>
      <c r="F112" s="3" t="s">
        <v>91</v>
      </c>
      <c r="G112" s="3" t="s">
        <v>178</v>
      </c>
      <c r="H112" s="3" t="s">
        <v>120</v>
      </c>
      <c r="I112" s="3" t="s">
        <v>27</v>
      </c>
      <c r="J112" s="3" t="s">
        <v>114</v>
      </c>
      <c r="K112" s="3" t="s">
        <v>51</v>
      </c>
      <c r="L112" s="3">
        <v>40</v>
      </c>
      <c r="M112" s="4">
        <v>28326</v>
      </c>
      <c r="N112" s="6">
        <v>0.15</v>
      </c>
      <c r="O112" s="3">
        <v>18307.39</v>
      </c>
      <c r="P112" s="4">
        <v>1133040</v>
      </c>
      <c r="Q112" s="4">
        <v>963084</v>
      </c>
      <c r="R112" s="4">
        <v>230788.4</v>
      </c>
      <c r="S112" s="3" t="s">
        <v>149</v>
      </c>
    </row>
    <row r="113" spans="1:19" ht="15.75" customHeight="1">
      <c r="A113" s="2">
        <v>45400</v>
      </c>
      <c r="B113" s="3">
        <v>2024</v>
      </c>
      <c r="C113" s="3" t="s">
        <v>53</v>
      </c>
      <c r="D113" s="3" t="s">
        <v>54</v>
      </c>
      <c r="E113" s="3" t="s">
        <v>55</v>
      </c>
      <c r="F113" s="3" t="s">
        <v>95</v>
      </c>
      <c r="G113" s="3" t="s">
        <v>159</v>
      </c>
      <c r="H113" s="3" t="s">
        <v>120</v>
      </c>
      <c r="I113" s="3" t="s">
        <v>122</v>
      </c>
      <c r="J113" s="3" t="s">
        <v>114</v>
      </c>
      <c r="K113" s="3" t="s">
        <v>51</v>
      </c>
      <c r="L113" s="3">
        <v>31</v>
      </c>
      <c r="M113" s="4">
        <v>76623</v>
      </c>
      <c r="N113" s="6">
        <v>0.2</v>
      </c>
      <c r="O113" s="3">
        <v>40510.85</v>
      </c>
      <c r="P113" s="4">
        <v>2375313</v>
      </c>
      <c r="Q113" s="4">
        <v>1900250.4</v>
      </c>
      <c r="R113" s="4">
        <v>644414.05000000005</v>
      </c>
      <c r="S113" s="3" t="s">
        <v>62</v>
      </c>
    </row>
    <row r="114" spans="1:19" ht="15.75" customHeight="1">
      <c r="A114" s="2">
        <v>45430</v>
      </c>
      <c r="B114" s="3">
        <v>2024</v>
      </c>
      <c r="C114" s="3" t="s">
        <v>63</v>
      </c>
      <c r="D114" s="3" t="s">
        <v>54</v>
      </c>
      <c r="E114" s="3" t="s">
        <v>43</v>
      </c>
      <c r="F114" s="3" t="s">
        <v>24</v>
      </c>
      <c r="G114" s="3" t="s">
        <v>177</v>
      </c>
      <c r="H114" s="3" t="s">
        <v>120</v>
      </c>
      <c r="I114" s="3" t="s">
        <v>122</v>
      </c>
      <c r="J114" s="3" t="s">
        <v>114</v>
      </c>
      <c r="K114" s="3" t="s">
        <v>105</v>
      </c>
      <c r="L114" s="3">
        <v>37</v>
      </c>
      <c r="M114" s="4">
        <v>111534</v>
      </c>
      <c r="N114" s="6">
        <v>0.08</v>
      </c>
      <c r="O114" s="3">
        <v>82137.22</v>
      </c>
      <c r="P114" s="4">
        <v>4126758</v>
      </c>
      <c r="Q114" s="4">
        <v>3796617.36</v>
      </c>
      <c r="R114" s="4">
        <v>757540.22</v>
      </c>
      <c r="S114" s="3" t="s">
        <v>41</v>
      </c>
    </row>
    <row r="115" spans="1:19" ht="15.75" customHeight="1">
      <c r="A115" s="2">
        <v>45452</v>
      </c>
      <c r="B115" s="3">
        <v>2024</v>
      </c>
      <c r="C115" s="3" t="s">
        <v>68</v>
      </c>
      <c r="D115" s="3" t="s">
        <v>54</v>
      </c>
      <c r="E115" s="3" t="s">
        <v>90</v>
      </c>
      <c r="F115" s="3" t="s">
        <v>91</v>
      </c>
      <c r="G115" s="3" t="s">
        <v>179</v>
      </c>
      <c r="H115" s="3" t="s">
        <v>26</v>
      </c>
      <c r="I115" s="3" t="s">
        <v>27</v>
      </c>
      <c r="J115" s="3" t="s">
        <v>28</v>
      </c>
      <c r="K115" s="3" t="s">
        <v>40</v>
      </c>
      <c r="L115" s="3">
        <v>35</v>
      </c>
      <c r="M115" s="4">
        <v>159329</v>
      </c>
      <c r="N115" s="6">
        <v>0.1</v>
      </c>
      <c r="O115" s="3">
        <v>77789.09</v>
      </c>
      <c r="P115" s="4">
        <v>5576515</v>
      </c>
      <c r="Q115" s="4">
        <v>5018863.5</v>
      </c>
      <c r="R115" s="4">
        <v>2296245.35</v>
      </c>
      <c r="S115" s="3" t="s">
        <v>149</v>
      </c>
    </row>
    <row r="116" spans="1:19" ht="15.75" customHeight="1">
      <c r="A116" s="2">
        <v>45475</v>
      </c>
      <c r="B116" s="3">
        <v>2024</v>
      </c>
      <c r="C116" s="3" t="s">
        <v>72</v>
      </c>
      <c r="D116" s="3" t="s">
        <v>73</v>
      </c>
      <c r="E116" s="3" t="s">
        <v>23</v>
      </c>
      <c r="F116" s="3" t="s">
        <v>65</v>
      </c>
      <c r="G116" s="3" t="s">
        <v>180</v>
      </c>
      <c r="H116" s="3" t="s">
        <v>58</v>
      </c>
      <c r="I116" s="3" t="s">
        <v>47</v>
      </c>
      <c r="J116" s="3" t="s">
        <v>60</v>
      </c>
      <c r="K116" s="3" t="s">
        <v>105</v>
      </c>
      <c r="L116" s="3">
        <v>63</v>
      </c>
      <c r="M116" s="4">
        <v>118668</v>
      </c>
      <c r="N116" s="6">
        <v>0.12</v>
      </c>
      <c r="O116" s="3">
        <v>73230.850000000006</v>
      </c>
      <c r="P116" s="4">
        <v>7476084</v>
      </c>
      <c r="Q116" s="4">
        <v>6578953.9199999999</v>
      </c>
      <c r="R116" s="4">
        <v>1965410.37</v>
      </c>
      <c r="S116" s="3" t="s">
        <v>41</v>
      </c>
    </row>
    <row r="117" spans="1:19" ht="15.75" customHeight="1">
      <c r="A117" s="2">
        <v>45523</v>
      </c>
      <c r="B117" s="3">
        <v>2024</v>
      </c>
      <c r="C117" s="3" t="s">
        <v>78</v>
      </c>
      <c r="D117" s="3" t="s">
        <v>73</v>
      </c>
      <c r="E117" s="3" t="s">
        <v>64</v>
      </c>
      <c r="F117" s="3" t="s">
        <v>132</v>
      </c>
      <c r="G117" s="3" t="s">
        <v>173</v>
      </c>
      <c r="H117" s="3" t="s">
        <v>26</v>
      </c>
      <c r="I117" s="3" t="s">
        <v>113</v>
      </c>
      <c r="J117" s="3" t="s">
        <v>28</v>
      </c>
      <c r="K117" s="3" t="s">
        <v>61</v>
      </c>
      <c r="L117" s="3">
        <v>12</v>
      </c>
      <c r="M117" s="4">
        <v>21526</v>
      </c>
      <c r="N117" s="6">
        <v>0.08</v>
      </c>
      <c r="O117" s="3">
        <v>15623.27</v>
      </c>
      <c r="P117" s="4">
        <v>258312</v>
      </c>
      <c r="Q117" s="4">
        <v>237647.04</v>
      </c>
      <c r="R117" s="4">
        <v>50167.8</v>
      </c>
      <c r="S117" s="3" t="s">
        <v>41</v>
      </c>
    </row>
    <row r="118" spans="1:19" ht="15.75" customHeight="1">
      <c r="A118" s="2">
        <v>45554</v>
      </c>
      <c r="B118" s="3">
        <v>2024</v>
      </c>
      <c r="C118" s="3" t="s">
        <v>85</v>
      </c>
      <c r="D118" s="3" t="s">
        <v>73</v>
      </c>
      <c r="E118" s="3" t="s">
        <v>79</v>
      </c>
      <c r="F118" s="3" t="s">
        <v>165</v>
      </c>
      <c r="G118" s="3" t="s">
        <v>177</v>
      </c>
      <c r="H118" s="3" t="s">
        <v>112</v>
      </c>
      <c r="I118" s="3" t="s">
        <v>113</v>
      </c>
      <c r="J118" s="3" t="s">
        <v>114</v>
      </c>
      <c r="K118" s="3" t="s">
        <v>61</v>
      </c>
      <c r="L118" s="3">
        <v>35</v>
      </c>
      <c r="M118" s="4">
        <v>47179</v>
      </c>
      <c r="N118" s="6">
        <v>0.12</v>
      </c>
      <c r="O118" s="3">
        <v>25735.81</v>
      </c>
      <c r="P118" s="4">
        <v>1651265</v>
      </c>
      <c r="Q118" s="4">
        <v>1453113.2</v>
      </c>
      <c r="R118" s="4">
        <v>552359.85</v>
      </c>
      <c r="S118" s="3" t="s">
        <v>32</v>
      </c>
    </row>
    <row r="119" spans="1:19" ht="15.75" customHeight="1">
      <c r="A119" s="2">
        <v>45576</v>
      </c>
      <c r="B119" s="3">
        <v>2024</v>
      </c>
      <c r="C119" s="3" t="s">
        <v>88</v>
      </c>
      <c r="D119" s="3" t="s">
        <v>89</v>
      </c>
      <c r="E119" s="3" t="s">
        <v>43</v>
      </c>
      <c r="F119" s="3" t="s">
        <v>86</v>
      </c>
      <c r="G119" s="3" t="s">
        <v>173</v>
      </c>
      <c r="H119" s="3" t="s">
        <v>37</v>
      </c>
      <c r="I119" s="3" t="s">
        <v>38</v>
      </c>
      <c r="J119" s="3" t="s">
        <v>39</v>
      </c>
      <c r="K119" s="3" t="s">
        <v>51</v>
      </c>
      <c r="L119" s="3">
        <v>26</v>
      </c>
      <c r="M119" s="4">
        <v>147077</v>
      </c>
      <c r="N119" s="6"/>
      <c r="O119" s="3">
        <v>100635.9</v>
      </c>
      <c r="P119" s="4">
        <v>3824002</v>
      </c>
      <c r="Q119" s="4">
        <v>3518081.84</v>
      </c>
      <c r="R119" s="4">
        <v>901548.44</v>
      </c>
      <c r="S119" s="3" t="s">
        <v>41</v>
      </c>
    </row>
    <row r="120" spans="1:19" ht="15.75" customHeight="1">
      <c r="A120" s="2">
        <v>45611</v>
      </c>
      <c r="B120" s="3">
        <v>2024</v>
      </c>
      <c r="C120" s="3" t="s">
        <v>93</v>
      </c>
      <c r="D120" s="3" t="s">
        <v>89</v>
      </c>
      <c r="E120" s="3" t="s">
        <v>43</v>
      </c>
      <c r="F120" s="3" t="s">
        <v>80</v>
      </c>
      <c r="G120" s="3" t="s">
        <v>133</v>
      </c>
      <c r="H120" s="3" t="s">
        <v>58</v>
      </c>
      <c r="I120" s="3" t="s">
        <v>38</v>
      </c>
      <c r="J120" s="3" t="s">
        <v>60</v>
      </c>
      <c r="K120" s="3" t="s">
        <v>51</v>
      </c>
      <c r="L120" s="3">
        <v>370</v>
      </c>
      <c r="M120" s="4">
        <v>73945</v>
      </c>
      <c r="N120" s="6">
        <v>0.05</v>
      </c>
      <c r="O120" s="3">
        <v>45320.02</v>
      </c>
      <c r="P120" s="4">
        <v>27359650</v>
      </c>
      <c r="Q120" s="4">
        <v>25991667.5</v>
      </c>
      <c r="R120" s="4">
        <v>9223260.0999999996</v>
      </c>
      <c r="S120" s="3" t="s">
        <v>41</v>
      </c>
    </row>
    <row r="121" spans="1:19" ht="15.75" customHeight="1">
      <c r="A121" s="2">
        <v>45630</v>
      </c>
      <c r="B121" s="3">
        <v>2024</v>
      </c>
      <c r="C121" s="3" t="s">
        <v>99</v>
      </c>
      <c r="D121" s="3" t="s">
        <v>89</v>
      </c>
      <c r="E121" s="3" t="s">
        <v>90</v>
      </c>
      <c r="F121" s="3" t="s">
        <v>80</v>
      </c>
      <c r="G121" s="3" t="s">
        <v>168</v>
      </c>
      <c r="H121" s="3" t="s">
        <v>37</v>
      </c>
      <c r="I121" s="3" t="s">
        <v>47</v>
      </c>
      <c r="J121" s="3" t="s">
        <v>39</v>
      </c>
      <c r="K121" s="3" t="s">
        <v>29</v>
      </c>
      <c r="L121" s="3">
        <v>9</v>
      </c>
      <c r="M121" s="4">
        <v>131269</v>
      </c>
      <c r="N121" s="6"/>
      <c r="O121" s="3">
        <v>78176.72</v>
      </c>
      <c r="P121" s="4">
        <v>1181421</v>
      </c>
      <c r="Q121" s="4">
        <v>1181421</v>
      </c>
      <c r="R121" s="4">
        <v>477830.52</v>
      </c>
      <c r="S121" s="3" t="s">
        <v>52</v>
      </c>
    </row>
    <row r="122" spans="1:19" ht="15.75" customHeight="1">
      <c r="A122" s="2">
        <v>45316</v>
      </c>
      <c r="B122" s="3">
        <v>2024</v>
      </c>
      <c r="C122" s="3" t="s">
        <v>21</v>
      </c>
      <c r="D122" s="3" t="s">
        <v>22</v>
      </c>
      <c r="E122" s="3" t="s">
        <v>79</v>
      </c>
      <c r="F122" s="3" t="s">
        <v>45</v>
      </c>
      <c r="G122" s="3" t="s">
        <v>172</v>
      </c>
      <c r="H122" s="3" t="s">
        <v>26</v>
      </c>
      <c r="I122" s="3" t="s">
        <v>27</v>
      </c>
      <c r="J122" s="3" t="s">
        <v>28</v>
      </c>
      <c r="K122" s="3" t="s">
        <v>51</v>
      </c>
      <c r="L122" s="3">
        <v>24</v>
      </c>
      <c r="M122" s="4">
        <v>159893</v>
      </c>
      <c r="N122" s="6">
        <v>0.15</v>
      </c>
      <c r="O122" s="3">
        <v>104001.7</v>
      </c>
      <c r="P122" s="4">
        <v>3837432</v>
      </c>
      <c r="Q122" s="4">
        <v>3261817.2</v>
      </c>
      <c r="R122" s="4">
        <v>765776.4</v>
      </c>
      <c r="S122" s="3" t="s">
        <v>41</v>
      </c>
    </row>
    <row r="123" spans="1:19" ht="15.75" customHeight="1">
      <c r="A123" s="2">
        <v>45338</v>
      </c>
      <c r="B123" s="3">
        <v>2024</v>
      </c>
      <c r="C123" s="3" t="s">
        <v>33</v>
      </c>
      <c r="D123" s="3" t="s">
        <v>22</v>
      </c>
      <c r="E123" s="3" t="s">
        <v>23</v>
      </c>
      <c r="F123" s="3" t="s">
        <v>130</v>
      </c>
      <c r="G123" s="3" t="s">
        <v>163</v>
      </c>
      <c r="H123" s="3" t="s">
        <v>48</v>
      </c>
      <c r="I123" s="3" t="s">
        <v>49</v>
      </c>
      <c r="J123" s="3" t="s">
        <v>50</v>
      </c>
      <c r="K123" s="3" t="s">
        <v>61</v>
      </c>
      <c r="L123" s="3">
        <v>9</v>
      </c>
      <c r="M123" s="4">
        <v>131746</v>
      </c>
      <c r="N123" s="6">
        <v>0.12</v>
      </c>
      <c r="O123" s="3">
        <v>90307.76</v>
      </c>
      <c r="P123" s="4">
        <v>1185714</v>
      </c>
      <c r="Q123" s="4">
        <v>1043428.32</v>
      </c>
      <c r="R123" s="4">
        <v>230658.48</v>
      </c>
      <c r="S123" s="3" t="s">
        <v>62</v>
      </c>
    </row>
    <row r="124" spans="1:19" ht="15.75" customHeight="1">
      <c r="A124" s="2">
        <v>45353</v>
      </c>
      <c r="B124" s="3">
        <v>2024</v>
      </c>
      <c r="C124" s="3" t="s">
        <v>42</v>
      </c>
      <c r="D124" s="3" t="s">
        <v>22</v>
      </c>
      <c r="E124" s="3" t="s">
        <v>34</v>
      </c>
      <c r="F124" s="3" t="s">
        <v>86</v>
      </c>
      <c r="G124" s="3" t="s">
        <v>87</v>
      </c>
      <c r="H124" s="3" t="s">
        <v>82</v>
      </c>
      <c r="I124" s="3" t="s">
        <v>38</v>
      </c>
      <c r="J124" s="3" t="s">
        <v>83</v>
      </c>
      <c r="K124" s="3" t="s">
        <v>105</v>
      </c>
      <c r="L124" s="3">
        <v>5</v>
      </c>
      <c r="M124" s="4">
        <v>135750</v>
      </c>
      <c r="N124" s="6">
        <v>0.08</v>
      </c>
      <c r="O124" s="3">
        <v>69638.86</v>
      </c>
      <c r="P124" s="4">
        <v>678750</v>
      </c>
      <c r="Q124" s="4">
        <v>624450</v>
      </c>
      <c r="R124" s="4">
        <v>276255.7</v>
      </c>
      <c r="S124" s="3" t="s">
        <v>41</v>
      </c>
    </row>
    <row r="125" spans="1:19" ht="15.75" customHeight="1">
      <c r="A125" s="2">
        <v>45410</v>
      </c>
      <c r="B125" s="3">
        <v>2024</v>
      </c>
      <c r="C125" s="3" t="s">
        <v>53</v>
      </c>
      <c r="D125" s="3" t="s">
        <v>54</v>
      </c>
      <c r="E125" s="3" t="s">
        <v>34</v>
      </c>
      <c r="F125" s="3" t="s">
        <v>91</v>
      </c>
      <c r="G125" s="3" t="s">
        <v>87</v>
      </c>
      <c r="H125" s="3" t="s">
        <v>75</v>
      </c>
      <c r="I125" s="3" t="s">
        <v>59</v>
      </c>
      <c r="J125" s="3" t="s">
        <v>76</v>
      </c>
      <c r="K125" s="3" t="s">
        <v>29</v>
      </c>
      <c r="L125" s="3">
        <v>23</v>
      </c>
      <c r="M125" s="4">
        <v>152839</v>
      </c>
      <c r="N125" s="6">
        <v>0.1</v>
      </c>
      <c r="O125" s="3">
        <v>107713.34</v>
      </c>
      <c r="P125" s="4">
        <v>3515297</v>
      </c>
      <c r="Q125" s="4">
        <v>3163767.3</v>
      </c>
      <c r="R125" s="4">
        <v>686360.48</v>
      </c>
      <c r="S125" s="3" t="s">
        <v>41</v>
      </c>
    </row>
    <row r="126" spans="1:19" ht="15.75" customHeight="1">
      <c r="A126" s="2">
        <v>45426</v>
      </c>
      <c r="B126" s="3">
        <v>2024</v>
      </c>
      <c r="C126" s="3" t="s">
        <v>63</v>
      </c>
      <c r="D126" s="3" t="s">
        <v>54</v>
      </c>
      <c r="E126" s="3" t="s">
        <v>79</v>
      </c>
      <c r="F126" s="3" t="s">
        <v>91</v>
      </c>
      <c r="G126" s="3" t="s">
        <v>25</v>
      </c>
      <c r="H126" s="3" t="s">
        <v>108</v>
      </c>
      <c r="I126" s="3" t="s">
        <v>47</v>
      </c>
      <c r="J126" s="3" t="s">
        <v>110</v>
      </c>
      <c r="K126" s="3" t="s">
        <v>61</v>
      </c>
      <c r="L126" s="3">
        <v>23</v>
      </c>
      <c r="M126" s="4">
        <v>61409</v>
      </c>
      <c r="N126" s="6"/>
      <c r="O126" s="3">
        <v>28326.5</v>
      </c>
      <c r="P126" s="4">
        <v>1412407</v>
      </c>
      <c r="Q126" s="4">
        <v>1341786.6499999999</v>
      </c>
      <c r="R126" s="4">
        <v>690277.15</v>
      </c>
      <c r="S126" s="3" t="s">
        <v>149</v>
      </c>
    </row>
    <row r="127" spans="1:19" ht="15.75" customHeight="1">
      <c r="A127" s="2">
        <v>45447</v>
      </c>
      <c r="B127" s="3">
        <v>2024</v>
      </c>
      <c r="C127" s="3" t="s">
        <v>68</v>
      </c>
      <c r="D127" s="3" t="s">
        <v>54</v>
      </c>
      <c r="E127" s="3" t="s">
        <v>79</v>
      </c>
      <c r="F127" s="3" t="s">
        <v>165</v>
      </c>
      <c r="G127" s="3" t="s">
        <v>145</v>
      </c>
      <c r="H127" s="3" t="s">
        <v>82</v>
      </c>
      <c r="I127" s="3" t="s">
        <v>59</v>
      </c>
      <c r="J127" s="3" t="s">
        <v>83</v>
      </c>
      <c r="K127" s="3" t="s">
        <v>29</v>
      </c>
      <c r="L127" s="3">
        <v>3</v>
      </c>
      <c r="M127" s="4">
        <v>73430</v>
      </c>
      <c r="N127" s="6">
        <v>0</v>
      </c>
      <c r="O127" s="3">
        <v>36645.050000000003</v>
      </c>
      <c r="P127" s="4">
        <v>220290</v>
      </c>
      <c r="Q127" s="4">
        <v>220290</v>
      </c>
      <c r="R127" s="4">
        <v>110354.85</v>
      </c>
      <c r="S127" s="3" t="s">
        <v>62</v>
      </c>
    </row>
    <row r="128" spans="1:19" ht="15.75" customHeight="1">
      <c r="A128" s="2">
        <v>45481</v>
      </c>
      <c r="B128" s="3">
        <v>2024</v>
      </c>
      <c r="C128" s="3" t="s">
        <v>72</v>
      </c>
      <c r="D128" s="3" t="s">
        <v>73</v>
      </c>
      <c r="E128" s="3" t="s">
        <v>55</v>
      </c>
      <c r="F128" s="3" t="s">
        <v>147</v>
      </c>
      <c r="G128" s="3" t="s">
        <v>148</v>
      </c>
      <c r="H128" s="3" t="s">
        <v>120</v>
      </c>
      <c r="I128" s="3" t="s">
        <v>122</v>
      </c>
      <c r="J128" s="3" t="s">
        <v>114</v>
      </c>
      <c r="K128" s="3" t="s">
        <v>29</v>
      </c>
      <c r="L128" s="3">
        <v>27</v>
      </c>
      <c r="M128" s="4">
        <v>27979</v>
      </c>
      <c r="N128" s="6">
        <v>0.1</v>
      </c>
      <c r="O128" s="3">
        <v>18720.68</v>
      </c>
      <c r="P128" s="4">
        <v>755433</v>
      </c>
      <c r="Q128" s="4">
        <v>679889.7</v>
      </c>
      <c r="R128" s="4">
        <v>174431.34</v>
      </c>
      <c r="S128" s="3" t="s">
        <v>70</v>
      </c>
    </row>
    <row r="129" spans="1:19" ht="15.75" customHeight="1">
      <c r="A129" s="2">
        <v>45515</v>
      </c>
      <c r="B129" s="3">
        <v>2024</v>
      </c>
      <c r="C129" s="3" t="s">
        <v>78</v>
      </c>
      <c r="D129" s="3" t="s">
        <v>73</v>
      </c>
      <c r="E129" s="3" t="s">
        <v>90</v>
      </c>
      <c r="F129" s="3" t="s">
        <v>65</v>
      </c>
      <c r="G129" s="3" t="s">
        <v>74</v>
      </c>
      <c r="H129" s="3" t="s">
        <v>108</v>
      </c>
      <c r="I129" s="3" t="s">
        <v>38</v>
      </c>
      <c r="J129" s="3" t="s">
        <v>110</v>
      </c>
      <c r="K129" s="3" t="s">
        <v>84</v>
      </c>
      <c r="L129" s="3">
        <v>25</v>
      </c>
      <c r="M129" s="4">
        <v>153014</v>
      </c>
      <c r="N129" s="6">
        <v>0.15</v>
      </c>
      <c r="O129" s="3">
        <v>84962.21</v>
      </c>
      <c r="P129" s="4">
        <v>3825350</v>
      </c>
      <c r="Q129" s="4">
        <v>3251547.5</v>
      </c>
      <c r="R129" s="4">
        <v>1127492.25</v>
      </c>
      <c r="S129" s="3" t="s">
        <v>149</v>
      </c>
    </row>
    <row r="130" spans="1:19" ht="15.75" customHeight="1">
      <c r="A130" s="2">
        <v>45552</v>
      </c>
      <c r="B130" s="3">
        <v>2024</v>
      </c>
      <c r="C130" s="3" t="s">
        <v>85</v>
      </c>
      <c r="D130" s="3" t="s">
        <v>73</v>
      </c>
      <c r="E130" s="3" t="s">
        <v>64</v>
      </c>
      <c r="F130" s="3" t="s">
        <v>91</v>
      </c>
      <c r="G130" s="3" t="s">
        <v>123</v>
      </c>
      <c r="H130" s="3" t="s">
        <v>108</v>
      </c>
      <c r="I130" s="3" t="s">
        <v>47</v>
      </c>
      <c r="J130" s="3" t="s">
        <v>110</v>
      </c>
      <c r="K130" s="3" t="s">
        <v>29</v>
      </c>
      <c r="L130" s="3">
        <v>22</v>
      </c>
      <c r="M130" s="4">
        <v>129908</v>
      </c>
      <c r="N130" s="6">
        <v>0.05</v>
      </c>
      <c r="O130" s="3">
        <v>82812.77</v>
      </c>
      <c r="P130" s="4">
        <v>2857976</v>
      </c>
      <c r="Q130" s="4">
        <v>2715077.2</v>
      </c>
      <c r="R130" s="4">
        <v>893196.26</v>
      </c>
      <c r="S130" s="3" t="s">
        <v>41</v>
      </c>
    </row>
    <row r="131" spans="1:19" ht="15.75" customHeight="1">
      <c r="A131" s="2">
        <v>45591</v>
      </c>
      <c r="B131" s="3">
        <v>2024</v>
      </c>
      <c r="C131" s="3" t="s">
        <v>88</v>
      </c>
      <c r="D131" s="3" t="s">
        <v>89</v>
      </c>
      <c r="E131" s="3" t="s">
        <v>43</v>
      </c>
      <c r="F131" s="3" t="s">
        <v>132</v>
      </c>
      <c r="G131" s="3" t="s">
        <v>156</v>
      </c>
      <c r="H131" s="3" t="s">
        <v>58</v>
      </c>
      <c r="I131" s="3" t="s">
        <v>59</v>
      </c>
      <c r="J131" s="3" t="s">
        <v>60</v>
      </c>
      <c r="K131" s="3" t="s">
        <v>29</v>
      </c>
      <c r="L131" s="3">
        <v>22</v>
      </c>
      <c r="M131" s="4">
        <v>16019</v>
      </c>
      <c r="N131" s="6">
        <v>0.15</v>
      </c>
      <c r="O131" s="3">
        <v>12602.58</v>
      </c>
      <c r="P131" s="4">
        <v>352418</v>
      </c>
      <c r="Q131" s="4">
        <v>299555.3</v>
      </c>
      <c r="R131" s="4">
        <v>22298.54</v>
      </c>
      <c r="S131" s="3" t="s">
        <v>32</v>
      </c>
    </row>
    <row r="132" spans="1:19" ht="15.75" customHeight="1">
      <c r="A132" s="2">
        <v>45609</v>
      </c>
      <c r="B132" s="3">
        <v>2024</v>
      </c>
      <c r="C132" s="3" t="s">
        <v>93</v>
      </c>
      <c r="D132" s="3" t="s">
        <v>89</v>
      </c>
      <c r="E132" s="3" t="s">
        <v>64</v>
      </c>
      <c r="F132" s="3" t="s">
        <v>130</v>
      </c>
      <c r="G132" s="3" t="s">
        <v>177</v>
      </c>
      <c r="H132" s="3" t="s">
        <v>58</v>
      </c>
      <c r="I132" s="3" t="s">
        <v>38</v>
      </c>
      <c r="J132" s="3" t="s">
        <v>60</v>
      </c>
      <c r="K132" s="3" t="s">
        <v>61</v>
      </c>
      <c r="L132" s="3">
        <v>30</v>
      </c>
      <c r="M132" s="4">
        <v>106177</v>
      </c>
      <c r="N132" s="6"/>
      <c r="O132" s="3">
        <v>66836.91</v>
      </c>
      <c r="P132" s="4">
        <v>3185310</v>
      </c>
      <c r="Q132" s="4">
        <v>3185310</v>
      </c>
      <c r="R132" s="4">
        <v>1180202.7</v>
      </c>
      <c r="S132" s="3" t="s">
        <v>70</v>
      </c>
    </row>
    <row r="133" spans="1:19" ht="15.75" customHeight="1">
      <c r="A133" s="2">
        <v>45638</v>
      </c>
      <c r="B133" s="3">
        <v>2024</v>
      </c>
      <c r="C133" s="3" t="s">
        <v>99</v>
      </c>
      <c r="D133" s="3" t="s">
        <v>89</v>
      </c>
      <c r="E133" s="3" t="s">
        <v>55</v>
      </c>
      <c r="F133" s="3" t="s">
        <v>91</v>
      </c>
      <c r="G133" s="3" t="s">
        <v>168</v>
      </c>
      <c r="H133" s="3" t="s">
        <v>58</v>
      </c>
      <c r="I133" s="3" t="s">
        <v>38</v>
      </c>
      <c r="J133" s="3" t="s">
        <v>60</v>
      </c>
      <c r="K133" s="3" t="s">
        <v>67</v>
      </c>
      <c r="L133" s="3">
        <v>110</v>
      </c>
      <c r="M133" s="4">
        <v>89382</v>
      </c>
      <c r="N133" s="6"/>
      <c r="O133" s="3">
        <v>47417.73</v>
      </c>
      <c r="P133" s="4">
        <v>9832020</v>
      </c>
      <c r="Q133" s="4">
        <v>9832020</v>
      </c>
      <c r="R133" s="4">
        <v>4616069.7</v>
      </c>
      <c r="S133" s="3" t="s">
        <v>52</v>
      </c>
    </row>
    <row r="134" spans="1:19" ht="15.75" customHeight="1">
      <c r="A134" s="2">
        <v>45315</v>
      </c>
      <c r="B134" s="3">
        <v>2024</v>
      </c>
      <c r="C134" s="3" t="s">
        <v>21</v>
      </c>
      <c r="D134" s="3" t="s">
        <v>22</v>
      </c>
      <c r="E134" s="3" t="s">
        <v>90</v>
      </c>
      <c r="F134" s="3" t="s">
        <v>24</v>
      </c>
      <c r="G134" s="3" t="s">
        <v>46</v>
      </c>
      <c r="H134" s="3" t="s">
        <v>75</v>
      </c>
      <c r="I134" s="3" t="s">
        <v>59</v>
      </c>
      <c r="J134" s="3" t="s">
        <v>76</v>
      </c>
      <c r="K134" s="3" t="s">
        <v>29</v>
      </c>
      <c r="L134" s="3">
        <v>23</v>
      </c>
      <c r="M134" s="4">
        <v>155273</v>
      </c>
      <c r="N134" s="6">
        <v>0</v>
      </c>
      <c r="O134" s="3">
        <v>98346.9</v>
      </c>
      <c r="P134" s="4">
        <v>3571279</v>
      </c>
      <c r="Q134" s="4">
        <v>3571279</v>
      </c>
      <c r="R134" s="4">
        <v>1309300.3</v>
      </c>
      <c r="S134" s="3" t="s">
        <v>32</v>
      </c>
    </row>
    <row r="135" spans="1:19" ht="15.75" customHeight="1">
      <c r="A135" s="2">
        <v>45325</v>
      </c>
      <c r="B135" s="3">
        <v>2024</v>
      </c>
      <c r="C135" s="3" t="s">
        <v>33</v>
      </c>
      <c r="D135" s="3" t="s">
        <v>22</v>
      </c>
      <c r="E135" s="3" t="s">
        <v>90</v>
      </c>
      <c r="F135" s="3" t="s">
        <v>115</v>
      </c>
      <c r="H135" s="3" t="s">
        <v>58</v>
      </c>
      <c r="I135" s="3" t="s">
        <v>38</v>
      </c>
      <c r="J135" s="3" t="s">
        <v>60</v>
      </c>
      <c r="K135" s="3" t="s">
        <v>51</v>
      </c>
      <c r="L135" s="3">
        <v>30</v>
      </c>
      <c r="M135" s="4">
        <v>173961</v>
      </c>
      <c r="N135" s="6">
        <v>0.12</v>
      </c>
      <c r="O135" s="3">
        <v>118423.87</v>
      </c>
      <c r="P135" s="4">
        <v>5218830</v>
      </c>
      <c r="Q135" s="4"/>
      <c r="R135" s="4">
        <v>1039854.3</v>
      </c>
      <c r="S135" s="3" t="s">
        <v>32</v>
      </c>
    </row>
    <row r="136" spans="1:19" ht="15.75" customHeight="1">
      <c r="A136" s="2">
        <v>45361</v>
      </c>
      <c r="B136" s="3">
        <v>2024</v>
      </c>
      <c r="C136" s="3" t="s">
        <v>42</v>
      </c>
      <c r="D136" s="3" t="s">
        <v>22</v>
      </c>
      <c r="E136" s="3" t="s">
        <v>23</v>
      </c>
      <c r="F136" s="3" t="s">
        <v>130</v>
      </c>
      <c r="G136" s="3" t="s">
        <v>173</v>
      </c>
      <c r="H136" s="3" t="s">
        <v>108</v>
      </c>
      <c r="I136" s="3" t="s">
        <v>47</v>
      </c>
      <c r="J136" s="3" t="s">
        <v>110</v>
      </c>
      <c r="K136" s="3" t="s">
        <v>105</v>
      </c>
      <c r="L136" s="3">
        <v>7</v>
      </c>
      <c r="M136" s="4">
        <v>75168</v>
      </c>
      <c r="N136" s="6">
        <v>0.2</v>
      </c>
      <c r="O136" s="3">
        <v>55272.91</v>
      </c>
      <c r="P136" s="4">
        <v>526176</v>
      </c>
      <c r="Q136" s="4">
        <v>420940.79999999999</v>
      </c>
      <c r="R136" s="4">
        <v>34030.43</v>
      </c>
      <c r="S136" s="3" t="s">
        <v>62</v>
      </c>
    </row>
    <row r="137" spans="1:19" ht="15.75" customHeight="1">
      <c r="A137" s="2">
        <v>45390</v>
      </c>
      <c r="B137" s="3">
        <v>2024</v>
      </c>
      <c r="C137" s="3" t="s">
        <v>53</v>
      </c>
      <c r="D137" s="3" t="s">
        <v>54</v>
      </c>
      <c r="E137" s="3" t="s">
        <v>55</v>
      </c>
      <c r="F137" s="3" t="s">
        <v>101</v>
      </c>
      <c r="G137" s="3" t="s">
        <v>171</v>
      </c>
      <c r="H137" s="3" t="s">
        <v>37</v>
      </c>
      <c r="I137" s="3" t="s">
        <v>47</v>
      </c>
      <c r="J137" s="3" t="s">
        <v>39</v>
      </c>
      <c r="K137" s="3" t="s">
        <v>105</v>
      </c>
      <c r="L137" s="3">
        <v>26</v>
      </c>
      <c r="M137" s="4">
        <v>156887</v>
      </c>
      <c r="N137" s="6">
        <v>0</v>
      </c>
      <c r="O137" s="3">
        <v>109192.69</v>
      </c>
      <c r="P137" s="4">
        <v>4079062</v>
      </c>
      <c r="Q137" s="4">
        <v>4079062</v>
      </c>
      <c r="R137" s="4">
        <v>1240052.06</v>
      </c>
      <c r="S137" s="3" t="s">
        <v>32</v>
      </c>
    </row>
    <row r="138" spans="1:19" ht="15.75" customHeight="1">
      <c r="A138" s="2">
        <v>45414</v>
      </c>
      <c r="B138" s="3">
        <v>2024</v>
      </c>
      <c r="C138" s="3" t="s">
        <v>63</v>
      </c>
      <c r="D138" s="3" t="s">
        <v>54</v>
      </c>
      <c r="E138" s="3" t="s">
        <v>64</v>
      </c>
      <c r="F138" s="3" t="s">
        <v>147</v>
      </c>
      <c r="H138" s="3" t="s">
        <v>108</v>
      </c>
      <c r="I138" s="3" t="s">
        <v>38</v>
      </c>
      <c r="J138" s="3" t="s">
        <v>110</v>
      </c>
      <c r="K138" s="3" t="s">
        <v>84</v>
      </c>
      <c r="L138" s="3">
        <v>3</v>
      </c>
      <c r="M138" s="4">
        <v>85498</v>
      </c>
      <c r="N138" s="6">
        <v>0</v>
      </c>
      <c r="O138" s="3">
        <v>43841.16</v>
      </c>
      <c r="P138" s="4">
        <v>256494</v>
      </c>
      <c r="Q138" s="4">
        <v>256494</v>
      </c>
      <c r="R138" s="4">
        <v>124970.52</v>
      </c>
      <c r="S138" s="3" t="s">
        <v>62</v>
      </c>
    </row>
    <row r="139" spans="1:19" ht="15.75" customHeight="1">
      <c r="A139" s="2">
        <v>45453</v>
      </c>
      <c r="B139" s="3">
        <v>2024</v>
      </c>
      <c r="C139" s="3" t="s">
        <v>68</v>
      </c>
      <c r="D139" s="3" t="s">
        <v>54</v>
      </c>
      <c r="E139" s="3" t="s">
        <v>64</v>
      </c>
      <c r="F139" s="3" t="s">
        <v>132</v>
      </c>
      <c r="G139" s="3" t="s">
        <v>157</v>
      </c>
      <c r="H139" s="3" t="s">
        <v>82</v>
      </c>
      <c r="I139" s="3" t="s">
        <v>59</v>
      </c>
      <c r="J139" s="3" t="s">
        <v>83</v>
      </c>
      <c r="K139" s="3" t="s">
        <v>67</v>
      </c>
      <c r="L139" s="3">
        <v>35</v>
      </c>
      <c r="M139" s="4">
        <v>48687</v>
      </c>
      <c r="N139" s="6">
        <v>0.05</v>
      </c>
      <c r="O139" s="3">
        <v>30442.89</v>
      </c>
      <c r="P139" s="4">
        <v>1704045</v>
      </c>
      <c r="Q139" s="4">
        <v>1618842.75</v>
      </c>
      <c r="R139" s="4">
        <v>553341.6</v>
      </c>
      <c r="S139" s="3" t="s">
        <v>62</v>
      </c>
    </row>
    <row r="140" spans="1:19" ht="15.75" customHeight="1">
      <c r="A140" s="2">
        <v>45486</v>
      </c>
      <c r="B140" s="3">
        <v>2024</v>
      </c>
      <c r="C140" s="3" t="s">
        <v>72</v>
      </c>
      <c r="D140" s="3" t="s">
        <v>73</v>
      </c>
      <c r="E140" s="3" t="s">
        <v>43</v>
      </c>
      <c r="F140" s="3" t="s">
        <v>86</v>
      </c>
      <c r="G140" s="3" t="s">
        <v>66</v>
      </c>
      <c r="H140" s="3" t="s">
        <v>48</v>
      </c>
      <c r="I140" s="3" t="s">
        <v>124</v>
      </c>
      <c r="J140" s="3" t="s">
        <v>50</v>
      </c>
      <c r="K140" s="3" t="s">
        <v>40</v>
      </c>
      <c r="L140" s="3">
        <v>29</v>
      </c>
      <c r="M140" s="4">
        <v>105273</v>
      </c>
      <c r="N140" s="6">
        <v>0.08</v>
      </c>
      <c r="O140" s="3">
        <v>63284.53</v>
      </c>
      <c r="P140" s="4">
        <v>3052917</v>
      </c>
      <c r="Q140" s="4">
        <v>2808683.64</v>
      </c>
      <c r="R140" s="4">
        <v>973432.27</v>
      </c>
      <c r="S140" s="3" t="s">
        <v>149</v>
      </c>
    </row>
    <row r="141" spans="1:19" ht="15.75" customHeight="1">
      <c r="A141" s="2">
        <v>45507</v>
      </c>
      <c r="B141" s="3">
        <v>2024</v>
      </c>
      <c r="C141" s="3" t="s">
        <v>78</v>
      </c>
      <c r="D141" s="3" t="s">
        <v>73</v>
      </c>
      <c r="E141" s="3" t="s">
        <v>23</v>
      </c>
      <c r="F141" s="3" t="s">
        <v>86</v>
      </c>
      <c r="G141" s="3" t="s">
        <v>162</v>
      </c>
      <c r="H141" s="3" t="s">
        <v>37</v>
      </c>
      <c r="I141" s="3" t="s">
        <v>38</v>
      </c>
      <c r="J141" s="3" t="s">
        <v>39</v>
      </c>
      <c r="K141" s="3" t="s">
        <v>67</v>
      </c>
      <c r="L141" s="3">
        <v>10</v>
      </c>
      <c r="M141" s="4">
        <v>95015</v>
      </c>
      <c r="N141" s="6">
        <v>0.05</v>
      </c>
      <c r="O141" s="3">
        <v>42929.52</v>
      </c>
      <c r="P141" s="4">
        <v>950150</v>
      </c>
      <c r="Q141" s="4">
        <v>902642.5</v>
      </c>
      <c r="R141" s="4">
        <v>473347.3</v>
      </c>
      <c r="S141" s="3" t="s">
        <v>62</v>
      </c>
    </row>
    <row r="142" spans="1:19" ht="15.75" customHeight="1">
      <c r="A142" s="2">
        <v>45553</v>
      </c>
      <c r="B142" s="3">
        <v>2024</v>
      </c>
      <c r="C142" s="3" t="s">
        <v>85</v>
      </c>
      <c r="D142" s="3" t="s">
        <v>73</v>
      </c>
      <c r="E142" s="3" t="s">
        <v>79</v>
      </c>
      <c r="F142" s="3" t="s">
        <v>130</v>
      </c>
      <c r="G142" s="3" t="s">
        <v>164</v>
      </c>
      <c r="H142" s="3" t="s">
        <v>75</v>
      </c>
      <c r="I142" s="3" t="s">
        <v>47</v>
      </c>
      <c r="J142" s="3" t="s">
        <v>76</v>
      </c>
      <c r="K142" s="3" t="s">
        <v>105</v>
      </c>
      <c r="L142" s="3">
        <v>6</v>
      </c>
      <c r="M142" s="4">
        <v>36396</v>
      </c>
      <c r="N142" s="6"/>
      <c r="O142" s="3">
        <v>27380.76</v>
      </c>
      <c r="P142" s="4">
        <v>218376</v>
      </c>
      <c r="Q142" s="4">
        <v>218376</v>
      </c>
      <c r="R142" s="4">
        <v>54091.44</v>
      </c>
      <c r="S142" s="3" t="s">
        <v>32</v>
      </c>
    </row>
    <row r="143" spans="1:19" ht="15.75" customHeight="1">
      <c r="A143" s="2">
        <v>45582</v>
      </c>
      <c r="B143" s="3">
        <v>2024</v>
      </c>
      <c r="C143" s="3" t="s">
        <v>88</v>
      </c>
      <c r="D143" s="3" t="s">
        <v>89</v>
      </c>
      <c r="E143" s="3" t="s">
        <v>64</v>
      </c>
      <c r="F143" s="3" t="s">
        <v>24</v>
      </c>
      <c r="G143" s="3" t="s">
        <v>174</v>
      </c>
      <c r="H143" s="3" t="s">
        <v>48</v>
      </c>
      <c r="I143" s="3" t="s">
        <v>49</v>
      </c>
      <c r="J143" s="3" t="s">
        <v>50</v>
      </c>
      <c r="K143" s="3" t="s">
        <v>29</v>
      </c>
      <c r="L143" s="3">
        <v>18</v>
      </c>
      <c r="M143" s="4">
        <v>141269</v>
      </c>
      <c r="N143" s="6">
        <v>0.1</v>
      </c>
      <c r="O143" s="3">
        <v>85063.25</v>
      </c>
      <c r="P143" s="4">
        <v>2542842</v>
      </c>
      <c r="Q143" s="4">
        <v>2288557.7999999998</v>
      </c>
      <c r="R143" s="4">
        <v>757419.3</v>
      </c>
      <c r="S143" s="3" t="s">
        <v>70</v>
      </c>
    </row>
    <row r="144" spans="1:19" ht="15.75" customHeight="1">
      <c r="A144" s="2">
        <v>45612</v>
      </c>
      <c r="B144" s="3">
        <v>2024</v>
      </c>
      <c r="C144" s="3" t="s">
        <v>93</v>
      </c>
      <c r="D144" s="3" t="s">
        <v>89</v>
      </c>
      <c r="E144" s="3" t="s">
        <v>79</v>
      </c>
      <c r="F144" s="3" t="s">
        <v>132</v>
      </c>
      <c r="G144" s="3" t="s">
        <v>46</v>
      </c>
      <c r="H144" s="3" t="s">
        <v>26</v>
      </c>
      <c r="I144" s="3" t="s">
        <v>27</v>
      </c>
      <c r="J144" s="3" t="s">
        <v>28</v>
      </c>
      <c r="K144" s="3" t="s">
        <v>105</v>
      </c>
      <c r="L144" s="3">
        <v>9</v>
      </c>
      <c r="M144" s="4">
        <v>115728</v>
      </c>
      <c r="N144" s="6">
        <v>0.08</v>
      </c>
      <c r="O144" s="3">
        <v>84646.56</v>
      </c>
      <c r="P144" s="4">
        <v>1041552</v>
      </c>
      <c r="Q144" s="4">
        <v>958227.84</v>
      </c>
      <c r="R144" s="4">
        <v>196408.8</v>
      </c>
      <c r="S144" s="3" t="s">
        <v>62</v>
      </c>
    </row>
    <row r="145" spans="1:19" ht="15.75" customHeight="1">
      <c r="A145" s="2">
        <v>45636</v>
      </c>
      <c r="B145" s="3">
        <v>2024</v>
      </c>
      <c r="C145" s="3" t="s">
        <v>99</v>
      </c>
      <c r="D145" s="3" t="s">
        <v>89</v>
      </c>
      <c r="E145" s="3" t="s">
        <v>55</v>
      </c>
      <c r="F145" s="3" t="s">
        <v>132</v>
      </c>
      <c r="G145" s="3" t="s">
        <v>156</v>
      </c>
      <c r="H145" s="3" t="s">
        <v>96</v>
      </c>
      <c r="I145" s="3" t="s">
        <v>59</v>
      </c>
      <c r="J145" s="3" t="s">
        <v>83</v>
      </c>
      <c r="K145" s="3" t="s">
        <v>84</v>
      </c>
      <c r="L145" s="3">
        <v>12</v>
      </c>
      <c r="M145" s="4">
        <v>95660</v>
      </c>
      <c r="N145" s="6">
        <v>0.12</v>
      </c>
      <c r="O145" s="3">
        <v>75448.679999999993</v>
      </c>
      <c r="P145" s="4">
        <v>1147920</v>
      </c>
      <c r="Q145" s="4">
        <v>1010169.6</v>
      </c>
      <c r="R145" s="4">
        <v>104785.44</v>
      </c>
      <c r="S145" s="3" t="s">
        <v>41</v>
      </c>
    </row>
    <row r="146" spans="1:19" ht="15.75" customHeight="1">
      <c r="A146" s="2">
        <v>45310</v>
      </c>
      <c r="B146" s="3">
        <v>2024</v>
      </c>
      <c r="C146" s="3" t="s">
        <v>21</v>
      </c>
      <c r="D146" s="3" t="s">
        <v>22</v>
      </c>
      <c r="E146" s="3" t="s">
        <v>79</v>
      </c>
      <c r="F146" s="3" t="s">
        <v>147</v>
      </c>
      <c r="G146" s="3" t="s">
        <v>181</v>
      </c>
      <c r="H146" s="3" t="s">
        <v>58</v>
      </c>
      <c r="I146" s="3" t="s">
        <v>59</v>
      </c>
      <c r="J146" s="3" t="s">
        <v>60</v>
      </c>
      <c r="K146" s="3" t="s">
        <v>67</v>
      </c>
      <c r="L146" s="3">
        <v>30</v>
      </c>
      <c r="M146" s="4">
        <v>66958</v>
      </c>
      <c r="N146" s="6">
        <v>0.2</v>
      </c>
      <c r="O146" s="3">
        <v>49612.44</v>
      </c>
      <c r="P146" s="4">
        <v>2008740</v>
      </c>
      <c r="Q146" s="4">
        <v>1606992</v>
      </c>
      <c r="R146" s="4">
        <v>118618.8</v>
      </c>
      <c r="S146" s="3" t="s">
        <v>32</v>
      </c>
    </row>
    <row r="147" spans="1:19" ht="15.75" customHeight="1">
      <c r="A147" s="2">
        <v>45330</v>
      </c>
      <c r="B147" s="3">
        <v>2024</v>
      </c>
      <c r="C147" s="3" t="s">
        <v>33</v>
      </c>
      <c r="D147" s="3" t="s">
        <v>22</v>
      </c>
      <c r="E147" s="3" t="s">
        <v>55</v>
      </c>
      <c r="F147" s="3" t="s">
        <v>101</v>
      </c>
      <c r="G147" s="3" t="s">
        <v>144</v>
      </c>
      <c r="H147" s="3" t="s">
        <v>112</v>
      </c>
      <c r="I147" s="3" t="s">
        <v>27</v>
      </c>
      <c r="J147" s="3" t="s">
        <v>114</v>
      </c>
      <c r="K147" s="3" t="s">
        <v>40</v>
      </c>
      <c r="L147" s="3">
        <v>25</v>
      </c>
      <c r="M147" s="4">
        <v>168744</v>
      </c>
      <c r="N147" s="6">
        <v>0.08</v>
      </c>
      <c r="O147" s="3">
        <v>107494.75</v>
      </c>
      <c r="P147" s="4">
        <v>4218600</v>
      </c>
      <c r="Q147" s="4">
        <v>3881112</v>
      </c>
      <c r="R147" s="4">
        <v>1193743.25</v>
      </c>
      <c r="S147" s="3" t="s">
        <v>149</v>
      </c>
    </row>
    <row r="148" spans="1:19" ht="15.75" customHeight="1">
      <c r="A148" s="2">
        <v>45372</v>
      </c>
      <c r="B148" s="3">
        <v>2024</v>
      </c>
      <c r="C148" s="3" t="s">
        <v>42</v>
      </c>
      <c r="D148" s="3" t="s">
        <v>22</v>
      </c>
      <c r="E148" s="3" t="s">
        <v>23</v>
      </c>
      <c r="F148" s="3" t="s">
        <v>56</v>
      </c>
      <c r="G148" s="3" t="s">
        <v>127</v>
      </c>
      <c r="H148" s="3" t="s">
        <v>48</v>
      </c>
      <c r="I148" s="3" t="s">
        <v>49</v>
      </c>
      <c r="J148" s="3" t="s">
        <v>50</v>
      </c>
      <c r="K148" s="3" t="s">
        <v>29</v>
      </c>
      <c r="L148" s="3">
        <v>440</v>
      </c>
      <c r="M148" s="4">
        <v>98926</v>
      </c>
      <c r="N148" s="6">
        <v>0.08</v>
      </c>
      <c r="O148" s="3">
        <v>48184.93</v>
      </c>
      <c r="P148" s="4">
        <v>43527440</v>
      </c>
      <c r="Q148" s="4">
        <v>40045244.799999997</v>
      </c>
      <c r="R148" s="4">
        <v>18843875.600000001</v>
      </c>
      <c r="S148" s="3" t="s">
        <v>32</v>
      </c>
    </row>
    <row r="149" spans="1:19" ht="15.75" customHeight="1">
      <c r="A149" s="2">
        <v>45397</v>
      </c>
      <c r="B149" s="3">
        <v>2024</v>
      </c>
      <c r="C149" s="3" t="s">
        <v>53</v>
      </c>
      <c r="D149" s="3" t="s">
        <v>54</v>
      </c>
      <c r="E149" s="3" t="s">
        <v>55</v>
      </c>
      <c r="F149" s="3" t="s">
        <v>65</v>
      </c>
      <c r="G149" s="3" t="s">
        <v>182</v>
      </c>
      <c r="H149" s="3" t="s">
        <v>58</v>
      </c>
      <c r="I149" s="3" t="s">
        <v>38</v>
      </c>
      <c r="J149" s="3" t="s">
        <v>60</v>
      </c>
      <c r="K149" s="3" t="s">
        <v>29</v>
      </c>
      <c r="L149" s="3">
        <v>23</v>
      </c>
      <c r="M149" s="4">
        <v>138555</v>
      </c>
      <c r="N149" s="6">
        <v>0.08</v>
      </c>
      <c r="O149" s="3">
        <v>106991.01</v>
      </c>
      <c r="P149" s="4">
        <v>3186765</v>
      </c>
      <c r="Q149" s="4">
        <v>2931823.8</v>
      </c>
      <c r="R149" s="4">
        <v>471030.57</v>
      </c>
      <c r="S149" s="3" t="s">
        <v>32</v>
      </c>
    </row>
    <row r="150" spans="1:19" ht="15.75" customHeight="1">
      <c r="A150" s="2">
        <v>45429</v>
      </c>
      <c r="B150" s="3">
        <v>2024</v>
      </c>
      <c r="C150" s="3" t="s">
        <v>63</v>
      </c>
      <c r="D150" s="3" t="s">
        <v>54</v>
      </c>
      <c r="E150" s="3" t="s">
        <v>34</v>
      </c>
      <c r="F150" s="3" t="s">
        <v>80</v>
      </c>
      <c r="G150" s="3" t="s">
        <v>57</v>
      </c>
      <c r="H150" s="3" t="s">
        <v>58</v>
      </c>
      <c r="I150" s="3" t="s">
        <v>47</v>
      </c>
      <c r="J150" s="3" t="s">
        <v>60</v>
      </c>
      <c r="K150" s="3" t="s">
        <v>61</v>
      </c>
      <c r="L150" s="3">
        <v>29</v>
      </c>
      <c r="M150" s="4">
        <v>90712</v>
      </c>
      <c r="N150" s="6">
        <v>0.05</v>
      </c>
      <c r="O150" s="3">
        <v>41537.46</v>
      </c>
      <c r="P150" s="4">
        <v>2630648</v>
      </c>
      <c r="Q150" s="4">
        <v>2499115.6</v>
      </c>
      <c r="R150" s="4">
        <v>1294529.26</v>
      </c>
      <c r="S150" s="3" t="s">
        <v>62</v>
      </c>
    </row>
    <row r="151" spans="1:19" ht="15.75" customHeight="1">
      <c r="A151" s="2">
        <v>45449</v>
      </c>
      <c r="B151" s="3">
        <v>2024</v>
      </c>
      <c r="C151" s="3" t="s">
        <v>68</v>
      </c>
      <c r="D151" s="3" t="s">
        <v>54</v>
      </c>
      <c r="E151" s="3" t="s">
        <v>79</v>
      </c>
      <c r="F151" s="3" t="s">
        <v>35</v>
      </c>
      <c r="G151" s="3" t="s">
        <v>144</v>
      </c>
      <c r="H151" s="3" t="s">
        <v>108</v>
      </c>
      <c r="I151" s="3" t="s">
        <v>59</v>
      </c>
      <c r="J151" s="3" t="s">
        <v>110</v>
      </c>
      <c r="K151" s="3" t="s">
        <v>61</v>
      </c>
      <c r="L151" s="3">
        <v>15</v>
      </c>
      <c r="M151" s="4">
        <v>177087</v>
      </c>
      <c r="N151" s="6">
        <v>0.08</v>
      </c>
      <c r="O151" s="3">
        <v>104207.52</v>
      </c>
      <c r="P151" s="4">
        <v>2656305</v>
      </c>
      <c r="Q151" s="4">
        <v>2443800.6</v>
      </c>
      <c r="R151" s="4">
        <v>880687.8</v>
      </c>
      <c r="S151" s="3" t="s">
        <v>149</v>
      </c>
    </row>
    <row r="152" spans="1:19" ht="15.75" customHeight="1">
      <c r="A152" s="2">
        <v>45480</v>
      </c>
      <c r="B152" s="3">
        <v>2024</v>
      </c>
      <c r="C152" s="3" t="s">
        <v>72</v>
      </c>
      <c r="D152" s="3" t="s">
        <v>73</v>
      </c>
      <c r="E152" s="3" t="s">
        <v>55</v>
      </c>
      <c r="F152" s="3" t="s">
        <v>101</v>
      </c>
      <c r="G152" s="3" t="s">
        <v>164</v>
      </c>
      <c r="H152" s="3" t="s">
        <v>58</v>
      </c>
      <c r="I152" s="3" t="s">
        <v>59</v>
      </c>
      <c r="J152" s="3" t="s">
        <v>60</v>
      </c>
      <c r="K152" s="3" t="s">
        <v>40</v>
      </c>
      <c r="L152" s="3">
        <v>35</v>
      </c>
      <c r="M152" s="4">
        <v>97454</v>
      </c>
      <c r="N152" s="6">
        <v>0.05</v>
      </c>
      <c r="O152" s="3">
        <v>52802.89</v>
      </c>
      <c r="P152" s="4">
        <v>3410890</v>
      </c>
      <c r="Q152" s="4">
        <v>3240345.5</v>
      </c>
      <c r="R152" s="4">
        <v>1392244.35</v>
      </c>
      <c r="S152" s="3" t="s">
        <v>70</v>
      </c>
    </row>
    <row r="153" spans="1:19" ht="15.75" customHeight="1">
      <c r="A153" s="2">
        <v>45516</v>
      </c>
      <c r="B153" s="3">
        <v>2024</v>
      </c>
      <c r="C153" s="3" t="s">
        <v>78</v>
      </c>
      <c r="D153" s="3" t="s">
        <v>73</v>
      </c>
      <c r="E153" s="3" t="s">
        <v>55</v>
      </c>
      <c r="F153" s="3" t="s">
        <v>91</v>
      </c>
      <c r="G153" s="3" t="s">
        <v>133</v>
      </c>
      <c r="H153" s="3" t="s">
        <v>82</v>
      </c>
      <c r="I153" s="3" t="s">
        <v>59</v>
      </c>
      <c r="J153" s="3" t="s">
        <v>83</v>
      </c>
      <c r="K153" s="3" t="s">
        <v>51</v>
      </c>
      <c r="L153" s="3">
        <v>38</v>
      </c>
      <c r="M153" s="4">
        <v>47113</v>
      </c>
      <c r="N153" s="6">
        <v>0.15</v>
      </c>
      <c r="O153" s="3">
        <v>26236.43</v>
      </c>
      <c r="P153" s="4">
        <v>1790294</v>
      </c>
      <c r="Q153" s="4">
        <v>1521749.9</v>
      </c>
      <c r="R153" s="4">
        <v>524765.56000000006</v>
      </c>
      <c r="S153" s="3" t="s">
        <v>41</v>
      </c>
    </row>
    <row r="154" spans="1:19" ht="15.75" customHeight="1">
      <c r="A154" s="2">
        <v>45549</v>
      </c>
      <c r="B154" s="3">
        <v>2024</v>
      </c>
      <c r="C154" s="3" t="s">
        <v>85</v>
      </c>
      <c r="D154" s="3" t="s">
        <v>73</v>
      </c>
      <c r="E154" s="3" t="s">
        <v>64</v>
      </c>
      <c r="F154" s="3" t="s">
        <v>91</v>
      </c>
      <c r="G154" s="3" t="s">
        <v>174</v>
      </c>
      <c r="H154" s="3" t="s">
        <v>102</v>
      </c>
      <c r="I154" s="3" t="s">
        <v>49</v>
      </c>
      <c r="J154" s="3" t="s">
        <v>104</v>
      </c>
      <c r="K154" s="3" t="s">
        <v>61</v>
      </c>
      <c r="L154" s="3">
        <v>19</v>
      </c>
      <c r="M154" s="4">
        <v>94465</v>
      </c>
      <c r="N154" s="6">
        <v>0</v>
      </c>
      <c r="O154" s="3">
        <v>71125.8</v>
      </c>
      <c r="P154" s="4">
        <v>1794835</v>
      </c>
      <c r="Q154" s="4">
        <v>1794835</v>
      </c>
      <c r="R154" s="4">
        <v>443444.8</v>
      </c>
      <c r="S154" s="3" t="s">
        <v>32</v>
      </c>
    </row>
    <row r="155" spans="1:19" ht="15.75" customHeight="1">
      <c r="A155" s="2">
        <v>45579</v>
      </c>
      <c r="B155" s="3">
        <v>2024</v>
      </c>
      <c r="C155" s="3" t="s">
        <v>88</v>
      </c>
      <c r="D155" s="3" t="s">
        <v>89</v>
      </c>
      <c r="E155" s="3" t="s">
        <v>90</v>
      </c>
      <c r="F155" s="3" t="s">
        <v>65</v>
      </c>
      <c r="G155" s="3" t="s">
        <v>138</v>
      </c>
      <c r="H155" s="3" t="s">
        <v>75</v>
      </c>
      <c r="I155" s="3" t="s">
        <v>38</v>
      </c>
      <c r="J155" s="3" t="s">
        <v>76</v>
      </c>
      <c r="K155" s="3" t="s">
        <v>61</v>
      </c>
      <c r="L155" s="3">
        <v>11</v>
      </c>
      <c r="M155" s="4">
        <v>20089</v>
      </c>
      <c r="N155" s="6">
        <v>0.15</v>
      </c>
      <c r="O155" s="3">
        <v>11093.78</v>
      </c>
      <c r="P155" s="4">
        <v>220979</v>
      </c>
      <c r="Q155" s="4">
        <v>187832.15</v>
      </c>
      <c r="R155" s="4">
        <v>65800.570000000007</v>
      </c>
      <c r="S155" s="3" t="s">
        <v>62</v>
      </c>
    </row>
    <row r="156" spans="1:19" ht="15.75" customHeight="1">
      <c r="A156" s="2">
        <v>45613</v>
      </c>
      <c r="B156" s="3">
        <v>2024</v>
      </c>
      <c r="C156" s="3" t="s">
        <v>93</v>
      </c>
      <c r="D156" s="3" t="s">
        <v>89</v>
      </c>
      <c r="E156" s="3" t="s">
        <v>23</v>
      </c>
      <c r="F156" s="3" t="s">
        <v>132</v>
      </c>
      <c r="G156" s="3" t="s">
        <v>66</v>
      </c>
      <c r="H156" s="3" t="s">
        <v>108</v>
      </c>
      <c r="I156" s="3" t="s">
        <v>47</v>
      </c>
      <c r="J156" s="3" t="s">
        <v>110</v>
      </c>
      <c r="K156" s="3" t="s">
        <v>40</v>
      </c>
      <c r="L156" s="3">
        <v>35</v>
      </c>
      <c r="M156" s="4">
        <v>108170</v>
      </c>
      <c r="N156" s="6">
        <v>0</v>
      </c>
      <c r="O156" s="3">
        <v>77449.88</v>
      </c>
      <c r="P156" s="4">
        <v>3785950</v>
      </c>
      <c r="Q156" s="4">
        <v>3785950</v>
      </c>
      <c r="R156" s="4">
        <v>1075204.2</v>
      </c>
      <c r="S156" s="3" t="s">
        <v>70</v>
      </c>
    </row>
    <row r="157" spans="1:19" ht="15.75" customHeight="1">
      <c r="A157" s="2">
        <v>45654</v>
      </c>
      <c r="B157" s="3">
        <v>2024</v>
      </c>
      <c r="C157" s="3" t="s">
        <v>99</v>
      </c>
      <c r="D157" s="3" t="s">
        <v>89</v>
      </c>
      <c r="E157" s="3" t="s">
        <v>23</v>
      </c>
      <c r="F157" s="3" t="s">
        <v>65</v>
      </c>
      <c r="G157" s="3" t="s">
        <v>175</v>
      </c>
      <c r="H157" s="3" t="s">
        <v>112</v>
      </c>
      <c r="I157" s="3" t="s">
        <v>113</v>
      </c>
      <c r="J157" s="3" t="s">
        <v>114</v>
      </c>
      <c r="K157" s="3" t="s">
        <v>40</v>
      </c>
      <c r="L157" s="3">
        <v>6</v>
      </c>
      <c r="M157" s="4">
        <v>42772</v>
      </c>
      <c r="N157" s="6">
        <v>0.15</v>
      </c>
      <c r="O157" s="3">
        <v>22389.32</v>
      </c>
      <c r="P157" s="4">
        <v>256632</v>
      </c>
      <c r="Q157" s="4">
        <v>218137.2</v>
      </c>
      <c r="R157" s="4">
        <v>83801.279999999999</v>
      </c>
      <c r="S157" s="3" t="s">
        <v>149</v>
      </c>
    </row>
    <row r="158" spans="1:19" ht="15.75" customHeight="1">
      <c r="A158" s="2">
        <v>45296</v>
      </c>
      <c r="B158" s="3">
        <v>2024</v>
      </c>
      <c r="C158" s="3" t="s">
        <v>21</v>
      </c>
      <c r="D158" s="3" t="s">
        <v>22</v>
      </c>
      <c r="E158" s="3" t="s">
        <v>43</v>
      </c>
      <c r="F158" s="3" t="s">
        <v>115</v>
      </c>
      <c r="G158" s="3" t="s">
        <v>163</v>
      </c>
      <c r="H158" s="3" t="s">
        <v>48</v>
      </c>
      <c r="I158" s="3" t="s">
        <v>49</v>
      </c>
      <c r="J158" s="3" t="s">
        <v>50</v>
      </c>
      <c r="K158" s="3" t="s">
        <v>51</v>
      </c>
      <c r="L158" s="3">
        <v>23</v>
      </c>
      <c r="M158" s="4">
        <v>168462</v>
      </c>
      <c r="N158" s="6"/>
      <c r="O158" s="3">
        <v>133531.41</v>
      </c>
      <c r="P158" s="4">
        <v>3874626</v>
      </c>
      <c r="Q158" s="4">
        <v>3874626</v>
      </c>
      <c r="R158" s="4">
        <v>803403.57</v>
      </c>
      <c r="S158" s="3" t="s">
        <v>62</v>
      </c>
    </row>
    <row r="159" spans="1:19" ht="15.75" customHeight="1">
      <c r="A159" s="2">
        <v>45327</v>
      </c>
      <c r="B159" s="3">
        <v>2024</v>
      </c>
      <c r="C159" s="3" t="s">
        <v>33</v>
      </c>
      <c r="D159" s="3" t="s">
        <v>22</v>
      </c>
      <c r="E159" s="3" t="s">
        <v>43</v>
      </c>
      <c r="F159" s="3" t="s">
        <v>91</v>
      </c>
      <c r="G159" s="3" t="s">
        <v>36</v>
      </c>
      <c r="H159" s="3" t="s">
        <v>82</v>
      </c>
      <c r="I159" s="3" t="s">
        <v>38</v>
      </c>
      <c r="J159" s="3" t="s">
        <v>83</v>
      </c>
      <c r="K159" s="3" t="s">
        <v>40</v>
      </c>
      <c r="L159" s="3">
        <v>9</v>
      </c>
      <c r="M159" s="4">
        <v>46784</v>
      </c>
      <c r="N159" s="6"/>
      <c r="O159" s="3">
        <v>34618.69</v>
      </c>
      <c r="P159" s="4">
        <v>421056</v>
      </c>
      <c r="Q159" s="4">
        <v>421056</v>
      </c>
      <c r="R159" s="4">
        <v>109487.79</v>
      </c>
      <c r="S159" s="3" t="s">
        <v>149</v>
      </c>
    </row>
    <row r="160" spans="1:19" ht="15.75" customHeight="1">
      <c r="A160" s="2">
        <v>45354</v>
      </c>
      <c r="B160" s="3">
        <v>2024</v>
      </c>
      <c r="C160" s="3" t="s">
        <v>42</v>
      </c>
      <c r="D160" s="3" t="s">
        <v>22</v>
      </c>
      <c r="E160" s="3" t="s">
        <v>90</v>
      </c>
      <c r="F160" s="3" t="s">
        <v>165</v>
      </c>
      <c r="G160" s="3" t="s">
        <v>100</v>
      </c>
      <c r="H160" s="3" t="s">
        <v>75</v>
      </c>
      <c r="I160" s="3" t="s">
        <v>59</v>
      </c>
      <c r="J160" s="3" t="s">
        <v>76</v>
      </c>
      <c r="K160" s="3" t="s">
        <v>67</v>
      </c>
      <c r="L160" s="3">
        <v>18</v>
      </c>
      <c r="M160" s="4">
        <v>108749</v>
      </c>
      <c r="N160" s="6">
        <v>0.12</v>
      </c>
      <c r="O160" s="3">
        <v>61394.38</v>
      </c>
      <c r="P160" s="4">
        <v>1957482</v>
      </c>
      <c r="Q160" s="4">
        <v>1722584.16</v>
      </c>
      <c r="R160" s="4">
        <v>617485.31999999995</v>
      </c>
      <c r="S160" s="3" t="s">
        <v>32</v>
      </c>
    </row>
    <row r="161" spans="1:19" ht="15.75" customHeight="1">
      <c r="A161" s="2">
        <v>45405</v>
      </c>
      <c r="B161" s="3">
        <v>2024</v>
      </c>
      <c r="C161" s="3" t="s">
        <v>53</v>
      </c>
      <c r="D161" s="3" t="s">
        <v>54</v>
      </c>
      <c r="E161" s="3" t="s">
        <v>55</v>
      </c>
      <c r="F161" s="3" t="s">
        <v>45</v>
      </c>
      <c r="G161" s="3" t="s">
        <v>69</v>
      </c>
      <c r="H161" s="3" t="s">
        <v>26</v>
      </c>
      <c r="I161" s="3" t="s">
        <v>113</v>
      </c>
      <c r="J161" s="3" t="s">
        <v>28</v>
      </c>
      <c r="K161" s="3" t="s">
        <v>29</v>
      </c>
      <c r="L161" s="3">
        <v>28</v>
      </c>
      <c r="M161" s="4">
        <v>141686</v>
      </c>
      <c r="N161" s="6">
        <v>0.2</v>
      </c>
      <c r="O161" s="3">
        <v>80508.009999999995</v>
      </c>
      <c r="P161" s="4">
        <v>3967208</v>
      </c>
      <c r="Q161" s="4">
        <v>3173766.4</v>
      </c>
      <c r="R161" s="4">
        <v>919542.12</v>
      </c>
      <c r="S161" s="3" t="s">
        <v>52</v>
      </c>
    </row>
    <row r="162" spans="1:19" ht="15.75" customHeight="1">
      <c r="A162" s="2">
        <v>45416</v>
      </c>
      <c r="B162" s="3">
        <v>2024</v>
      </c>
      <c r="C162" s="3" t="s">
        <v>63</v>
      </c>
      <c r="D162" s="3" t="s">
        <v>54</v>
      </c>
      <c r="E162" s="3" t="s">
        <v>90</v>
      </c>
      <c r="F162" s="3" t="s">
        <v>91</v>
      </c>
      <c r="G162" s="3" t="s">
        <v>131</v>
      </c>
      <c r="H162" s="3" t="s">
        <v>44</v>
      </c>
      <c r="I162" s="3" t="s">
        <v>38</v>
      </c>
      <c r="J162" s="3" t="s">
        <v>153</v>
      </c>
      <c r="K162" s="3" t="s">
        <v>40</v>
      </c>
      <c r="L162" s="3">
        <v>11</v>
      </c>
      <c r="M162" s="4">
        <v>12177</v>
      </c>
      <c r="N162" s="6">
        <v>0.08</v>
      </c>
      <c r="O162" s="3">
        <v>6341.92</v>
      </c>
      <c r="P162" s="4">
        <v>133947</v>
      </c>
      <c r="Q162" s="4">
        <v>123231.24</v>
      </c>
      <c r="R162" s="4">
        <v>53470.12</v>
      </c>
      <c r="S162" s="3" t="s">
        <v>149</v>
      </c>
    </row>
    <row r="163" spans="1:19" ht="15.75" customHeight="1">
      <c r="A163" s="2">
        <v>45464</v>
      </c>
      <c r="B163" s="3">
        <v>2024</v>
      </c>
      <c r="C163" s="3" t="s">
        <v>68</v>
      </c>
      <c r="D163" s="3" t="s">
        <v>54</v>
      </c>
      <c r="E163" s="3" t="s">
        <v>55</v>
      </c>
      <c r="F163" s="3" t="s">
        <v>86</v>
      </c>
      <c r="G163" s="3" t="s">
        <v>98</v>
      </c>
      <c r="H163" s="3" t="s">
        <v>82</v>
      </c>
      <c r="I163" s="3" t="s">
        <v>59</v>
      </c>
      <c r="J163" s="3" t="s">
        <v>83</v>
      </c>
      <c r="K163" s="3" t="s">
        <v>183</v>
      </c>
      <c r="L163" s="3">
        <v>11</v>
      </c>
      <c r="M163" s="4">
        <v>175998</v>
      </c>
      <c r="N163" s="6">
        <v>0.15</v>
      </c>
      <c r="O163" s="3">
        <v>105639.43</v>
      </c>
      <c r="P163" s="4">
        <v>1935978</v>
      </c>
      <c r="Q163" s="4">
        <v>1645581.3</v>
      </c>
      <c r="R163" s="4">
        <v>483547.57</v>
      </c>
      <c r="S163" s="3" t="s">
        <v>32</v>
      </c>
    </row>
    <row r="164" spans="1:19" ht="15.75" customHeight="1">
      <c r="A164" s="2">
        <v>45474</v>
      </c>
      <c r="B164" s="3">
        <v>2024</v>
      </c>
      <c r="C164" s="3" t="s">
        <v>72</v>
      </c>
      <c r="D164" s="3" t="s">
        <v>73</v>
      </c>
      <c r="E164" s="3" t="s">
        <v>23</v>
      </c>
      <c r="F164" s="3" t="s">
        <v>24</v>
      </c>
      <c r="G164" s="3" t="s">
        <v>131</v>
      </c>
      <c r="H164" s="3" t="s">
        <v>75</v>
      </c>
      <c r="I164" s="3" t="s">
        <v>47</v>
      </c>
      <c r="J164" s="3" t="s">
        <v>76</v>
      </c>
      <c r="K164" s="3" t="s">
        <v>40</v>
      </c>
      <c r="L164" s="3">
        <v>28</v>
      </c>
      <c r="M164" s="4">
        <v>137226</v>
      </c>
      <c r="N164" s="6">
        <v>0.08</v>
      </c>
      <c r="O164" s="3">
        <v>66042.19</v>
      </c>
      <c r="P164" s="4">
        <v>3842328</v>
      </c>
      <c r="Q164" s="4">
        <v>3534941.76</v>
      </c>
      <c r="R164" s="4">
        <v>1685760.44</v>
      </c>
      <c r="S164" s="3" t="s">
        <v>32</v>
      </c>
    </row>
    <row r="165" spans="1:19" ht="15.75" customHeight="1">
      <c r="A165" s="2">
        <v>45526</v>
      </c>
      <c r="B165" s="3">
        <v>2024</v>
      </c>
      <c r="C165" s="3" t="s">
        <v>78</v>
      </c>
      <c r="D165" s="3" t="s">
        <v>73</v>
      </c>
      <c r="E165" s="3" t="s">
        <v>64</v>
      </c>
      <c r="F165" s="3" t="s">
        <v>45</v>
      </c>
      <c r="G165" s="3" t="s">
        <v>106</v>
      </c>
      <c r="H165" s="3" t="s">
        <v>26</v>
      </c>
      <c r="I165" s="3" t="s">
        <v>113</v>
      </c>
      <c r="J165" s="3" t="s">
        <v>28</v>
      </c>
      <c r="K165" s="3" t="s">
        <v>51</v>
      </c>
      <c r="L165" s="3">
        <v>11</v>
      </c>
      <c r="M165" s="4">
        <v>67851</v>
      </c>
      <c r="N165" s="6">
        <v>0.1</v>
      </c>
      <c r="O165" s="3">
        <v>52378.46</v>
      </c>
      <c r="P165" s="4">
        <v>746361</v>
      </c>
      <c r="Q165" s="4">
        <v>671724.9</v>
      </c>
      <c r="R165" s="4">
        <v>95561.84</v>
      </c>
      <c r="S165" s="3" t="s">
        <v>52</v>
      </c>
    </row>
    <row r="166" spans="1:19" ht="15.75" customHeight="1">
      <c r="A166" s="2">
        <v>45559</v>
      </c>
      <c r="B166" s="3">
        <v>2024</v>
      </c>
      <c r="C166" s="3" t="s">
        <v>85</v>
      </c>
      <c r="D166" s="3" t="s">
        <v>73</v>
      </c>
      <c r="E166" s="3" t="s">
        <v>34</v>
      </c>
      <c r="F166" s="3" t="s">
        <v>80</v>
      </c>
      <c r="H166" s="3" t="s">
        <v>48</v>
      </c>
      <c r="I166" s="3" t="s">
        <v>49</v>
      </c>
      <c r="J166" s="3" t="s">
        <v>50</v>
      </c>
      <c r="K166" s="3" t="s">
        <v>40</v>
      </c>
      <c r="L166" s="3">
        <v>9</v>
      </c>
      <c r="M166" s="4">
        <v>34085</v>
      </c>
      <c r="N166" s="6">
        <v>0.2</v>
      </c>
      <c r="O166" s="3">
        <v>24631.16</v>
      </c>
      <c r="P166" s="4">
        <v>306765</v>
      </c>
      <c r="Q166" s="4">
        <v>245412</v>
      </c>
      <c r="R166" s="4">
        <v>23731.56</v>
      </c>
      <c r="S166" s="3" t="s">
        <v>149</v>
      </c>
    </row>
    <row r="167" spans="1:19" ht="15.75" customHeight="1">
      <c r="A167" s="2">
        <v>45572</v>
      </c>
      <c r="B167" s="3">
        <v>2024</v>
      </c>
      <c r="C167" s="3" t="s">
        <v>88</v>
      </c>
      <c r="D167" s="3" t="s">
        <v>89</v>
      </c>
      <c r="E167" s="3" t="s">
        <v>90</v>
      </c>
      <c r="F167" s="3" t="s">
        <v>65</v>
      </c>
      <c r="G167" s="3" t="s">
        <v>145</v>
      </c>
      <c r="H167" s="3" t="s">
        <v>108</v>
      </c>
      <c r="I167" s="3" t="s">
        <v>59</v>
      </c>
      <c r="J167" s="3" t="s">
        <v>110</v>
      </c>
      <c r="K167" s="3" t="s">
        <v>40</v>
      </c>
      <c r="L167" s="3">
        <v>16</v>
      </c>
      <c r="M167" s="4">
        <v>41555</v>
      </c>
      <c r="N167" s="6">
        <v>0.05</v>
      </c>
      <c r="O167" s="3">
        <v>26383.279999999999</v>
      </c>
      <c r="P167" s="4">
        <v>664880</v>
      </c>
      <c r="Q167" s="4">
        <v>631636</v>
      </c>
      <c r="R167" s="4">
        <v>209503.52</v>
      </c>
      <c r="S167" s="3" t="s">
        <v>32</v>
      </c>
    </row>
    <row r="168" spans="1:19" ht="15.75" customHeight="1">
      <c r="A168" s="2">
        <v>45608</v>
      </c>
      <c r="B168" s="3">
        <v>2024</v>
      </c>
      <c r="C168" s="3" t="s">
        <v>93</v>
      </c>
      <c r="D168" s="3" t="s">
        <v>89</v>
      </c>
      <c r="E168" s="3" t="s">
        <v>79</v>
      </c>
      <c r="F168" s="3" t="s">
        <v>101</v>
      </c>
      <c r="G168" s="3" t="s">
        <v>180</v>
      </c>
      <c r="H168" s="3" t="s">
        <v>102</v>
      </c>
      <c r="I168" s="3" t="s">
        <v>49</v>
      </c>
      <c r="J168" s="3" t="s">
        <v>104</v>
      </c>
      <c r="K168" s="3" t="s">
        <v>40</v>
      </c>
      <c r="L168" s="3">
        <v>30</v>
      </c>
      <c r="M168" s="4">
        <v>15615</v>
      </c>
      <c r="N168" s="6">
        <v>0</v>
      </c>
      <c r="O168" s="3">
        <v>12068.88</v>
      </c>
      <c r="P168" s="4">
        <v>468450</v>
      </c>
      <c r="Q168" s="4">
        <v>468450</v>
      </c>
      <c r="R168" s="4">
        <v>106383.6</v>
      </c>
      <c r="S168" s="3" t="s">
        <v>70</v>
      </c>
    </row>
    <row r="169" spans="1:19" ht="15.75" customHeight="1">
      <c r="A169" s="2">
        <v>45629</v>
      </c>
      <c r="B169" s="3">
        <v>2024</v>
      </c>
      <c r="C169" s="3" t="s">
        <v>99</v>
      </c>
      <c r="D169" s="3" t="s">
        <v>89</v>
      </c>
      <c r="E169" s="3" t="s">
        <v>90</v>
      </c>
      <c r="F169" s="3" t="s">
        <v>132</v>
      </c>
      <c r="G169" s="3" t="s">
        <v>36</v>
      </c>
      <c r="H169" s="3" t="s">
        <v>102</v>
      </c>
      <c r="I169" s="3" t="s">
        <v>103</v>
      </c>
      <c r="J169" s="3" t="s">
        <v>104</v>
      </c>
      <c r="K169" s="3" t="s">
        <v>105</v>
      </c>
      <c r="L169" s="3">
        <v>20</v>
      </c>
      <c r="M169" s="4">
        <v>65267</v>
      </c>
      <c r="N169" s="6">
        <v>0.1</v>
      </c>
      <c r="O169" s="3">
        <v>41623.15</v>
      </c>
      <c r="P169" s="4">
        <v>1305340</v>
      </c>
      <c r="Q169" s="4">
        <v>1174806</v>
      </c>
      <c r="R169" s="4">
        <v>342343</v>
      </c>
      <c r="S169" s="3" t="s">
        <v>70</v>
      </c>
    </row>
    <row r="170" spans="1:19" ht="15.75" customHeight="1">
      <c r="A170" s="2">
        <v>45305</v>
      </c>
      <c r="B170" s="3">
        <v>2024</v>
      </c>
      <c r="C170" s="3" t="s">
        <v>21</v>
      </c>
      <c r="D170" s="3" t="s">
        <v>22</v>
      </c>
      <c r="E170" s="3" t="s">
        <v>90</v>
      </c>
      <c r="F170" s="3" t="s">
        <v>115</v>
      </c>
      <c r="G170" s="3" t="s">
        <v>25</v>
      </c>
      <c r="H170" s="3" t="s">
        <v>37</v>
      </c>
      <c r="I170" s="3" t="s">
        <v>47</v>
      </c>
      <c r="J170" s="3" t="s">
        <v>39</v>
      </c>
      <c r="K170" s="3" t="s">
        <v>105</v>
      </c>
      <c r="L170" s="3">
        <v>28</v>
      </c>
      <c r="M170" s="4">
        <v>172509</v>
      </c>
      <c r="N170" s="6">
        <v>0.2</v>
      </c>
      <c r="O170" s="3">
        <v>117845.7</v>
      </c>
      <c r="P170" s="4">
        <v>4830252</v>
      </c>
      <c r="Q170" s="4">
        <v>3864201.6</v>
      </c>
      <c r="R170" s="4">
        <v>564522</v>
      </c>
      <c r="S170" s="3" t="s">
        <v>149</v>
      </c>
    </row>
    <row r="171" spans="1:19" ht="15.75" customHeight="1">
      <c r="A171" s="2">
        <v>45334</v>
      </c>
      <c r="B171" s="3">
        <v>2024</v>
      </c>
      <c r="C171" s="3" t="s">
        <v>33</v>
      </c>
      <c r="D171" s="3" t="s">
        <v>22</v>
      </c>
      <c r="E171" s="3" t="s">
        <v>79</v>
      </c>
      <c r="F171" s="3" t="s">
        <v>130</v>
      </c>
      <c r="G171" s="3" t="s">
        <v>174</v>
      </c>
      <c r="H171" s="3" t="s">
        <v>75</v>
      </c>
      <c r="I171" s="3" t="s">
        <v>59</v>
      </c>
      <c r="J171" s="3" t="s">
        <v>76</v>
      </c>
      <c r="K171" s="3" t="s">
        <v>84</v>
      </c>
      <c r="L171" s="3">
        <v>9</v>
      </c>
      <c r="M171" s="4">
        <v>82454</v>
      </c>
      <c r="N171" s="6">
        <v>0.05</v>
      </c>
      <c r="O171" s="3">
        <v>59366.93</v>
      </c>
      <c r="P171" s="4">
        <v>742086</v>
      </c>
      <c r="Q171" s="4">
        <v>704981.7</v>
      </c>
      <c r="R171" s="4">
        <v>170679.33</v>
      </c>
      <c r="S171" s="3" t="s">
        <v>32</v>
      </c>
    </row>
    <row r="172" spans="1:19" ht="15.75" customHeight="1">
      <c r="A172" s="2">
        <v>45354</v>
      </c>
      <c r="B172" s="3">
        <v>2024</v>
      </c>
      <c r="C172" s="3" t="s">
        <v>42</v>
      </c>
      <c r="D172" s="3" t="s">
        <v>22</v>
      </c>
      <c r="E172" s="3" t="s">
        <v>34</v>
      </c>
      <c r="F172" s="3" t="s">
        <v>65</v>
      </c>
      <c r="G172" s="3" t="s">
        <v>163</v>
      </c>
      <c r="H172" s="3" t="s">
        <v>26</v>
      </c>
      <c r="I172" s="3" t="s">
        <v>113</v>
      </c>
      <c r="J172" s="3" t="s">
        <v>28</v>
      </c>
      <c r="K172" s="3" t="s">
        <v>61</v>
      </c>
      <c r="L172" s="3">
        <v>37</v>
      </c>
      <c r="M172" s="4">
        <v>53237</v>
      </c>
      <c r="N172" s="6">
        <v>0.05</v>
      </c>
      <c r="O172" s="3">
        <v>40619.51</v>
      </c>
      <c r="P172" s="4">
        <v>1969769</v>
      </c>
      <c r="Q172" s="4">
        <v>1871280.55</v>
      </c>
      <c r="R172" s="4">
        <v>368358.68</v>
      </c>
      <c r="S172" s="3" t="s">
        <v>149</v>
      </c>
    </row>
    <row r="173" spans="1:19" ht="15.75" customHeight="1">
      <c r="A173" s="2">
        <v>45384</v>
      </c>
      <c r="B173" s="3">
        <v>2024</v>
      </c>
      <c r="C173" s="3" t="s">
        <v>53</v>
      </c>
      <c r="D173" s="3" t="s">
        <v>54</v>
      </c>
      <c r="E173" s="3" t="s">
        <v>34</v>
      </c>
      <c r="F173" s="3" t="s">
        <v>80</v>
      </c>
      <c r="G173" s="3" t="s">
        <v>74</v>
      </c>
      <c r="H173" s="3" t="s">
        <v>58</v>
      </c>
      <c r="I173" s="3" t="s">
        <v>59</v>
      </c>
      <c r="J173" s="3" t="s">
        <v>60</v>
      </c>
      <c r="K173" s="3" t="s">
        <v>29</v>
      </c>
      <c r="L173" s="3">
        <v>3</v>
      </c>
      <c r="M173" s="4">
        <v>121935</v>
      </c>
      <c r="N173" s="6">
        <v>0.15</v>
      </c>
      <c r="O173" s="3">
        <v>72635.44</v>
      </c>
      <c r="P173" s="4">
        <v>365805</v>
      </c>
      <c r="Q173" s="4">
        <v>310934.25</v>
      </c>
      <c r="R173" s="4">
        <v>93027.93</v>
      </c>
      <c r="S173" s="3" t="s">
        <v>149</v>
      </c>
    </row>
    <row r="174" spans="1:19" ht="15.75" customHeight="1">
      <c r="A174" s="2">
        <v>45418</v>
      </c>
      <c r="B174" s="3">
        <v>2024</v>
      </c>
      <c r="C174" s="3" t="s">
        <v>63</v>
      </c>
      <c r="D174" s="3" t="s">
        <v>54</v>
      </c>
      <c r="E174" s="3" t="s">
        <v>64</v>
      </c>
      <c r="F174" s="3" t="s">
        <v>132</v>
      </c>
      <c r="G174" s="3" t="s">
        <v>184</v>
      </c>
      <c r="H174" s="3" t="s">
        <v>44</v>
      </c>
      <c r="I174" s="3" t="s">
        <v>38</v>
      </c>
      <c r="J174" s="3" t="s">
        <v>153</v>
      </c>
      <c r="K174" s="3" t="s">
        <v>105</v>
      </c>
      <c r="L174" s="3">
        <v>30</v>
      </c>
      <c r="M174" s="4">
        <v>93447</v>
      </c>
      <c r="N174" s="6">
        <v>0.12</v>
      </c>
      <c r="O174" s="3">
        <v>42311.79</v>
      </c>
      <c r="P174" s="4">
        <v>2803410</v>
      </c>
      <c r="Q174" s="4">
        <v>2467000.7999999998</v>
      </c>
      <c r="R174" s="4">
        <v>1197647.1000000001</v>
      </c>
      <c r="S174" s="3" t="s">
        <v>41</v>
      </c>
    </row>
    <row r="175" spans="1:19" ht="15.75" customHeight="1">
      <c r="A175" s="2">
        <v>45459</v>
      </c>
      <c r="B175" s="3">
        <v>2024</v>
      </c>
      <c r="C175" s="3" t="s">
        <v>68</v>
      </c>
      <c r="D175" s="3" t="s">
        <v>54</v>
      </c>
      <c r="E175" s="3" t="s">
        <v>43</v>
      </c>
      <c r="F175" s="3" t="s">
        <v>147</v>
      </c>
      <c r="G175" s="3" t="s">
        <v>87</v>
      </c>
      <c r="H175" s="3" t="s">
        <v>48</v>
      </c>
      <c r="I175" s="3" t="s">
        <v>49</v>
      </c>
      <c r="J175" s="3" t="s">
        <v>50</v>
      </c>
      <c r="K175" s="3" t="s">
        <v>40</v>
      </c>
      <c r="L175" s="3">
        <v>16</v>
      </c>
      <c r="M175" s="4">
        <v>477952</v>
      </c>
      <c r="N175" s="6"/>
      <c r="O175" s="3">
        <v>321460.78999999998</v>
      </c>
      <c r="P175" s="4">
        <v>7647232</v>
      </c>
      <c r="Q175" s="4"/>
      <c r="R175" s="4">
        <v>2503859.36</v>
      </c>
      <c r="S175" s="3" t="s">
        <v>149</v>
      </c>
    </row>
    <row r="176" spans="1:19" ht="15.75" customHeight="1">
      <c r="A176" s="2">
        <v>45483</v>
      </c>
      <c r="B176" s="3">
        <v>2024</v>
      </c>
      <c r="C176" s="3" t="s">
        <v>72</v>
      </c>
      <c r="D176" s="3" t="s">
        <v>73</v>
      </c>
      <c r="E176" s="3" t="s">
        <v>23</v>
      </c>
      <c r="F176" s="3" t="s">
        <v>147</v>
      </c>
      <c r="G176" s="3" t="s">
        <v>155</v>
      </c>
      <c r="H176" s="3" t="s">
        <v>37</v>
      </c>
      <c r="I176" s="3" t="s">
        <v>59</v>
      </c>
      <c r="J176" s="3" t="s">
        <v>39</v>
      </c>
      <c r="K176" s="3" t="s">
        <v>61</v>
      </c>
      <c r="L176" s="3">
        <v>32</v>
      </c>
      <c r="M176" s="4">
        <v>49322</v>
      </c>
      <c r="N176" s="6">
        <v>0.05</v>
      </c>
      <c r="O176" s="3">
        <v>22952.74</v>
      </c>
      <c r="P176" s="4">
        <v>1578304</v>
      </c>
      <c r="Q176" s="4">
        <v>1499388.8</v>
      </c>
      <c r="R176" s="4">
        <v>764901.12</v>
      </c>
      <c r="S176" s="3" t="s">
        <v>41</v>
      </c>
    </row>
    <row r="177" spans="1:19" ht="15.75" customHeight="1">
      <c r="A177" s="2">
        <v>45523</v>
      </c>
      <c r="B177" s="3">
        <v>2024</v>
      </c>
      <c r="C177" s="3" t="s">
        <v>78</v>
      </c>
      <c r="D177" s="3" t="s">
        <v>73</v>
      </c>
      <c r="E177" s="3" t="s">
        <v>23</v>
      </c>
      <c r="F177" s="3" t="s">
        <v>132</v>
      </c>
      <c r="G177" s="3" t="s">
        <v>69</v>
      </c>
      <c r="H177" s="3" t="s">
        <v>82</v>
      </c>
      <c r="I177" s="3" t="s">
        <v>38</v>
      </c>
      <c r="J177" s="3" t="s">
        <v>83</v>
      </c>
      <c r="K177" s="3" t="s">
        <v>105</v>
      </c>
      <c r="L177" s="3">
        <v>38</v>
      </c>
      <c r="M177" s="4">
        <v>126028</v>
      </c>
      <c r="N177" s="6">
        <v>0.1</v>
      </c>
      <c r="O177" s="3">
        <v>67156.55</v>
      </c>
      <c r="P177" s="4">
        <v>4789064</v>
      </c>
      <c r="Q177" s="4">
        <v>4310157.5999999996</v>
      </c>
      <c r="R177" s="4">
        <v>1758208.7</v>
      </c>
      <c r="S177" s="3" t="s">
        <v>62</v>
      </c>
    </row>
    <row r="178" spans="1:19" ht="15.75" customHeight="1">
      <c r="A178" s="2">
        <v>45550</v>
      </c>
      <c r="B178" s="3">
        <v>2024</v>
      </c>
      <c r="C178" s="3" t="s">
        <v>85</v>
      </c>
      <c r="D178" s="3" t="s">
        <v>73</v>
      </c>
      <c r="E178" s="3" t="s">
        <v>55</v>
      </c>
      <c r="F178" s="3" t="s">
        <v>115</v>
      </c>
      <c r="G178" s="3" t="s">
        <v>179</v>
      </c>
      <c r="H178" s="3" t="s">
        <v>120</v>
      </c>
      <c r="I178" s="3" t="s">
        <v>122</v>
      </c>
      <c r="J178" s="3" t="s">
        <v>114</v>
      </c>
      <c r="K178" s="3" t="s">
        <v>29</v>
      </c>
      <c r="L178" s="3">
        <v>38</v>
      </c>
      <c r="M178" s="4">
        <v>39697</v>
      </c>
      <c r="N178" s="6">
        <v>0.12</v>
      </c>
      <c r="O178" s="3">
        <v>22226.81</v>
      </c>
      <c r="P178" s="4">
        <v>1508486</v>
      </c>
      <c r="Q178" s="4">
        <v>1327467.68</v>
      </c>
      <c r="R178" s="4">
        <v>482848.9</v>
      </c>
      <c r="S178" s="3" t="s">
        <v>32</v>
      </c>
    </row>
    <row r="179" spans="1:19" ht="15.75" customHeight="1">
      <c r="A179" s="2">
        <v>45568</v>
      </c>
      <c r="B179" s="3">
        <v>2024</v>
      </c>
      <c r="C179" s="3" t="s">
        <v>88</v>
      </c>
      <c r="D179" s="3" t="s">
        <v>89</v>
      </c>
      <c r="E179" s="3" t="s">
        <v>64</v>
      </c>
      <c r="F179" s="3" t="s">
        <v>24</v>
      </c>
      <c r="G179" s="3" t="s">
        <v>146</v>
      </c>
      <c r="H179" s="3" t="s">
        <v>82</v>
      </c>
      <c r="I179" s="3" t="s">
        <v>38</v>
      </c>
      <c r="J179" s="3" t="s">
        <v>83</v>
      </c>
      <c r="K179" s="3" t="s">
        <v>29</v>
      </c>
      <c r="L179" s="3">
        <v>21</v>
      </c>
      <c r="M179" s="4">
        <v>77069</v>
      </c>
      <c r="N179" s="6">
        <v>0.08</v>
      </c>
      <c r="O179" s="3">
        <v>48531.19</v>
      </c>
      <c r="P179" s="4">
        <v>1618449</v>
      </c>
      <c r="Q179" s="4">
        <v>1488973.08</v>
      </c>
      <c r="R179" s="4">
        <v>469818.09</v>
      </c>
      <c r="S179" s="3" t="s">
        <v>149</v>
      </c>
    </row>
    <row r="180" spans="1:19" ht="15.75" customHeight="1">
      <c r="A180" s="2">
        <v>45620</v>
      </c>
      <c r="B180" s="3">
        <v>2024</v>
      </c>
      <c r="C180" s="3" t="s">
        <v>93</v>
      </c>
      <c r="D180" s="3" t="s">
        <v>89</v>
      </c>
      <c r="E180" s="3" t="s">
        <v>79</v>
      </c>
      <c r="F180" s="3" t="s">
        <v>115</v>
      </c>
      <c r="G180" s="3" t="s">
        <v>154</v>
      </c>
      <c r="H180" s="3" t="s">
        <v>108</v>
      </c>
      <c r="I180" s="3" t="s">
        <v>38</v>
      </c>
      <c r="J180" s="3" t="s">
        <v>110</v>
      </c>
      <c r="K180" s="3" t="s">
        <v>105</v>
      </c>
      <c r="L180" s="3">
        <v>9</v>
      </c>
      <c r="M180" s="4">
        <v>28166</v>
      </c>
      <c r="N180" s="6">
        <v>0.15</v>
      </c>
      <c r="O180" s="3">
        <v>13963.3</v>
      </c>
      <c r="P180" s="4">
        <v>253494</v>
      </c>
      <c r="Q180" s="4">
        <v>215469.9</v>
      </c>
      <c r="R180" s="4">
        <v>89800.2</v>
      </c>
      <c r="S180" s="3" t="s">
        <v>70</v>
      </c>
    </row>
    <row r="181" spans="1:19" ht="15.75" customHeight="1">
      <c r="A181" s="2">
        <v>45627</v>
      </c>
      <c r="B181" s="3">
        <v>2024</v>
      </c>
      <c r="C181" s="3" t="s">
        <v>99</v>
      </c>
      <c r="D181" s="3" t="s">
        <v>89</v>
      </c>
      <c r="E181" s="3" t="s">
        <v>23</v>
      </c>
      <c r="F181" s="3" t="s">
        <v>147</v>
      </c>
      <c r="G181" s="3" t="s">
        <v>138</v>
      </c>
      <c r="H181" s="3" t="s">
        <v>82</v>
      </c>
      <c r="I181" s="3" t="s">
        <v>38</v>
      </c>
      <c r="J181" s="3" t="s">
        <v>83</v>
      </c>
      <c r="K181" s="3" t="s">
        <v>40</v>
      </c>
      <c r="L181" s="3">
        <v>9</v>
      </c>
      <c r="M181" s="4">
        <v>98913</v>
      </c>
      <c r="N181" s="6">
        <v>0.12</v>
      </c>
      <c r="O181" s="3">
        <v>46263.9</v>
      </c>
      <c r="P181" s="4">
        <v>890217</v>
      </c>
      <c r="Q181" s="4">
        <v>783390.96</v>
      </c>
      <c r="R181" s="4">
        <v>367015.86</v>
      </c>
      <c r="S181" s="3" t="s">
        <v>52</v>
      </c>
    </row>
    <row r="182" spans="1:19" ht="15.75" customHeight="1">
      <c r="A182" s="2">
        <v>45303</v>
      </c>
      <c r="B182" s="3">
        <v>2024</v>
      </c>
      <c r="C182" s="3" t="s">
        <v>21</v>
      </c>
      <c r="D182" s="3" t="s">
        <v>22</v>
      </c>
      <c r="E182" s="3" t="s">
        <v>64</v>
      </c>
      <c r="F182" s="3" t="s">
        <v>35</v>
      </c>
      <c r="G182" s="3" t="s">
        <v>36</v>
      </c>
      <c r="H182" s="3" t="s">
        <v>96</v>
      </c>
      <c r="I182" s="3" t="s">
        <v>47</v>
      </c>
      <c r="J182" s="3" t="s">
        <v>83</v>
      </c>
      <c r="K182" s="3" t="s">
        <v>61</v>
      </c>
      <c r="L182" s="3">
        <v>80</v>
      </c>
      <c r="M182" s="4">
        <v>89360</v>
      </c>
      <c r="N182" s="6">
        <v>0.12</v>
      </c>
      <c r="O182" s="3">
        <v>42119.18</v>
      </c>
      <c r="P182" s="4">
        <v>7148800</v>
      </c>
      <c r="Q182" s="4">
        <v>6290944</v>
      </c>
      <c r="R182" s="4">
        <v>2921409.6</v>
      </c>
      <c r="S182" s="3" t="s">
        <v>62</v>
      </c>
    </row>
    <row r="183" spans="1:19" ht="15.75" customHeight="1">
      <c r="A183" s="2">
        <v>45348</v>
      </c>
      <c r="B183" s="3">
        <v>2024</v>
      </c>
      <c r="C183" s="3" t="s">
        <v>33</v>
      </c>
      <c r="D183" s="3" t="s">
        <v>22</v>
      </c>
      <c r="E183" s="3" t="s">
        <v>79</v>
      </c>
      <c r="F183" s="3" t="s">
        <v>165</v>
      </c>
      <c r="H183" s="3" t="s">
        <v>26</v>
      </c>
      <c r="I183" s="3" t="s">
        <v>122</v>
      </c>
      <c r="J183" s="3" t="s">
        <v>28</v>
      </c>
      <c r="K183" s="3" t="s">
        <v>61</v>
      </c>
      <c r="L183" s="3">
        <v>35</v>
      </c>
      <c r="M183" s="4">
        <v>102186</v>
      </c>
      <c r="N183" s="6"/>
      <c r="O183" s="3">
        <v>59874.2</v>
      </c>
      <c r="P183" s="4">
        <v>3576510</v>
      </c>
      <c r="Q183" s="4">
        <v>3576510</v>
      </c>
      <c r="R183" s="4">
        <v>1480913</v>
      </c>
      <c r="S183" s="3" t="s">
        <v>41</v>
      </c>
    </row>
    <row r="184" spans="1:19" ht="15.75" customHeight="1">
      <c r="A184" s="2">
        <v>45377</v>
      </c>
      <c r="B184" s="3">
        <v>2024</v>
      </c>
      <c r="C184" s="3" t="s">
        <v>42</v>
      </c>
      <c r="D184" s="3" t="s">
        <v>22</v>
      </c>
      <c r="E184" s="3" t="s">
        <v>34</v>
      </c>
      <c r="F184" s="3" t="s">
        <v>130</v>
      </c>
      <c r="G184" s="3" t="s">
        <v>185</v>
      </c>
      <c r="H184" s="3" t="s">
        <v>44</v>
      </c>
      <c r="I184" s="3" t="s">
        <v>47</v>
      </c>
      <c r="J184" s="3" t="s">
        <v>153</v>
      </c>
      <c r="K184" s="3" t="s">
        <v>29</v>
      </c>
      <c r="L184" s="3">
        <v>7</v>
      </c>
      <c r="M184" s="4">
        <v>75216</v>
      </c>
      <c r="N184" s="6">
        <v>0</v>
      </c>
      <c r="O184" s="3">
        <v>53961.27</v>
      </c>
      <c r="P184" s="4">
        <v>526512</v>
      </c>
      <c r="Q184" s="4">
        <v>526512</v>
      </c>
      <c r="R184" s="4">
        <v>148783.10999999999</v>
      </c>
      <c r="S184" s="3" t="s">
        <v>41</v>
      </c>
    </row>
    <row r="185" spans="1:19" ht="15.75" customHeight="1">
      <c r="A185" s="2">
        <v>45390</v>
      </c>
      <c r="B185" s="3">
        <v>2024</v>
      </c>
      <c r="C185" s="3" t="s">
        <v>53</v>
      </c>
      <c r="D185" s="3" t="s">
        <v>54</v>
      </c>
      <c r="E185" s="3" t="s">
        <v>79</v>
      </c>
      <c r="F185" s="3" t="s">
        <v>80</v>
      </c>
      <c r="G185" s="3" t="s">
        <v>181</v>
      </c>
      <c r="H185" s="3" t="s">
        <v>96</v>
      </c>
      <c r="I185" s="3" t="s">
        <v>59</v>
      </c>
      <c r="J185" s="3" t="s">
        <v>83</v>
      </c>
      <c r="K185" s="3" t="s">
        <v>67</v>
      </c>
      <c r="L185" s="3">
        <v>23</v>
      </c>
      <c r="M185" s="4">
        <v>159746</v>
      </c>
      <c r="N185" s="6">
        <v>0.15</v>
      </c>
      <c r="O185" s="3">
        <v>118666.34</v>
      </c>
      <c r="P185" s="4">
        <v>3674158</v>
      </c>
      <c r="Q185" s="4">
        <v>3123034.3</v>
      </c>
      <c r="R185" s="4">
        <v>393708.48</v>
      </c>
      <c r="S185" s="3" t="s">
        <v>70</v>
      </c>
    </row>
    <row r="186" spans="1:19" ht="15.75" customHeight="1">
      <c r="A186" s="2">
        <v>45413</v>
      </c>
      <c r="B186" s="3">
        <v>2024</v>
      </c>
      <c r="C186" s="3" t="s">
        <v>63</v>
      </c>
      <c r="D186" s="3" t="s">
        <v>54</v>
      </c>
      <c r="E186" s="3" t="s">
        <v>79</v>
      </c>
      <c r="F186" s="3" t="s">
        <v>91</v>
      </c>
      <c r="G186" s="3" t="s">
        <v>151</v>
      </c>
      <c r="H186" s="3" t="s">
        <v>58</v>
      </c>
      <c r="I186" s="3" t="s">
        <v>38</v>
      </c>
      <c r="J186" s="3" t="s">
        <v>60</v>
      </c>
      <c r="K186" s="3" t="s">
        <v>51</v>
      </c>
      <c r="L186" s="3">
        <v>13</v>
      </c>
      <c r="M186" s="4">
        <v>101327</v>
      </c>
      <c r="N186" s="6"/>
      <c r="O186" s="3">
        <v>47709.27</v>
      </c>
      <c r="P186" s="4">
        <v>1317251</v>
      </c>
      <c r="Q186" s="4">
        <v>1317251</v>
      </c>
      <c r="R186" s="4">
        <v>697030.49</v>
      </c>
      <c r="S186" s="3" t="s">
        <v>41</v>
      </c>
    </row>
    <row r="187" spans="1:19" ht="15.75" customHeight="1">
      <c r="A187" s="2">
        <v>45455</v>
      </c>
      <c r="B187" s="3">
        <v>2024</v>
      </c>
      <c r="C187" s="3" t="s">
        <v>68</v>
      </c>
      <c r="D187" s="3" t="s">
        <v>54</v>
      </c>
      <c r="E187" s="3" t="s">
        <v>90</v>
      </c>
      <c r="F187" s="3" t="s">
        <v>24</v>
      </c>
      <c r="G187" s="3" t="s">
        <v>57</v>
      </c>
      <c r="H187" s="3" t="s">
        <v>82</v>
      </c>
      <c r="I187" s="3" t="s">
        <v>59</v>
      </c>
      <c r="J187" s="3" t="s">
        <v>83</v>
      </c>
      <c r="K187" s="3" t="s">
        <v>84</v>
      </c>
      <c r="L187" s="3">
        <v>20</v>
      </c>
      <c r="M187" s="4">
        <v>53288</v>
      </c>
      <c r="N187" s="6">
        <v>0.08</v>
      </c>
      <c r="O187" s="3">
        <v>38748.1</v>
      </c>
      <c r="P187" s="4">
        <v>1065760</v>
      </c>
      <c r="Q187" s="4">
        <v>980499.2</v>
      </c>
      <c r="R187" s="4">
        <v>205537.2</v>
      </c>
      <c r="S187" s="3" t="s">
        <v>70</v>
      </c>
    </row>
    <row r="188" spans="1:19" ht="15.75" customHeight="1">
      <c r="A188" s="2">
        <v>45481</v>
      </c>
      <c r="B188" s="3">
        <v>2024</v>
      </c>
      <c r="C188" s="3" t="s">
        <v>72</v>
      </c>
      <c r="D188" s="3" t="s">
        <v>73</v>
      </c>
      <c r="E188" s="3" t="s">
        <v>90</v>
      </c>
      <c r="F188" s="3" t="s">
        <v>132</v>
      </c>
      <c r="H188" s="3" t="s">
        <v>120</v>
      </c>
      <c r="I188" s="3" t="s">
        <v>113</v>
      </c>
      <c r="J188" s="3" t="s">
        <v>114</v>
      </c>
      <c r="K188" s="3" t="s">
        <v>84</v>
      </c>
      <c r="L188" s="3">
        <v>19</v>
      </c>
      <c r="M188" s="4">
        <v>12471</v>
      </c>
      <c r="N188" s="6">
        <v>0.08</v>
      </c>
      <c r="O188" s="3">
        <v>9325.3799999999992</v>
      </c>
      <c r="P188" s="4">
        <v>236949</v>
      </c>
      <c r="Q188" s="4">
        <v>217993.08</v>
      </c>
      <c r="R188" s="4">
        <v>40810.86</v>
      </c>
      <c r="S188" s="3" t="s">
        <v>52</v>
      </c>
    </row>
    <row r="189" spans="1:19" ht="15.75" customHeight="1">
      <c r="A189" s="2">
        <v>45523</v>
      </c>
      <c r="B189" s="3">
        <v>2024</v>
      </c>
      <c r="C189" s="3" t="s">
        <v>78</v>
      </c>
      <c r="D189" s="3" t="s">
        <v>73</v>
      </c>
      <c r="E189" s="3" t="s">
        <v>23</v>
      </c>
      <c r="F189" s="3" t="s">
        <v>91</v>
      </c>
      <c r="G189" s="3" t="s">
        <v>151</v>
      </c>
      <c r="H189" s="3" t="s">
        <v>26</v>
      </c>
      <c r="I189" s="3" t="s">
        <v>113</v>
      </c>
      <c r="J189" s="3" t="s">
        <v>28</v>
      </c>
      <c r="K189" s="3" t="s">
        <v>67</v>
      </c>
      <c r="L189" s="3">
        <v>5</v>
      </c>
      <c r="M189" s="4">
        <v>95759</v>
      </c>
      <c r="N189" s="6">
        <v>0.05</v>
      </c>
      <c r="O189" s="3">
        <v>70630.080000000002</v>
      </c>
      <c r="P189" s="4">
        <v>478795</v>
      </c>
      <c r="Q189" s="4">
        <v>454855.25</v>
      </c>
      <c r="R189" s="4">
        <v>101704.85</v>
      </c>
      <c r="S189" s="3" t="s">
        <v>149</v>
      </c>
    </row>
    <row r="190" spans="1:19" ht="15.75" customHeight="1">
      <c r="A190" s="2">
        <v>45538</v>
      </c>
      <c r="B190" s="3">
        <v>2024</v>
      </c>
      <c r="C190" s="3" t="s">
        <v>85</v>
      </c>
      <c r="D190" s="3" t="s">
        <v>73</v>
      </c>
      <c r="E190" s="3" t="s">
        <v>55</v>
      </c>
      <c r="F190" s="3" t="s">
        <v>86</v>
      </c>
      <c r="G190" s="3" t="s">
        <v>186</v>
      </c>
      <c r="H190" s="3" t="s">
        <v>37</v>
      </c>
      <c r="I190" s="3" t="s">
        <v>59</v>
      </c>
      <c r="J190" s="3" t="s">
        <v>39</v>
      </c>
      <c r="K190" s="3" t="s">
        <v>105</v>
      </c>
      <c r="L190" s="3">
        <v>25</v>
      </c>
      <c r="M190" s="4">
        <v>122009</v>
      </c>
      <c r="N190" s="6">
        <v>0.08</v>
      </c>
      <c r="O190" s="3">
        <v>75960.2</v>
      </c>
      <c r="P190" s="4">
        <v>3050225</v>
      </c>
      <c r="Q190" s="4">
        <v>2806207</v>
      </c>
      <c r="R190" s="4">
        <v>907202</v>
      </c>
      <c r="S190" s="3" t="s">
        <v>70</v>
      </c>
    </row>
    <row r="191" spans="1:19" ht="15.75" customHeight="1">
      <c r="A191" s="2">
        <v>45590</v>
      </c>
      <c r="B191" s="3">
        <v>2024</v>
      </c>
      <c r="C191" s="3" t="s">
        <v>88</v>
      </c>
      <c r="D191" s="3" t="s">
        <v>89</v>
      </c>
      <c r="E191" s="3" t="s">
        <v>90</v>
      </c>
      <c r="F191" s="3" t="s">
        <v>115</v>
      </c>
      <c r="G191" s="3" t="s">
        <v>172</v>
      </c>
      <c r="H191" s="3" t="s">
        <v>26</v>
      </c>
      <c r="I191" s="3" t="s">
        <v>113</v>
      </c>
      <c r="J191" s="3" t="s">
        <v>28</v>
      </c>
      <c r="K191" s="3" t="s">
        <v>105</v>
      </c>
      <c r="L191" s="3">
        <v>3</v>
      </c>
      <c r="M191" s="4">
        <v>95549</v>
      </c>
      <c r="N191" s="6">
        <v>0.05</v>
      </c>
      <c r="O191" s="3">
        <v>45478.47</v>
      </c>
      <c r="P191" s="4">
        <v>286647</v>
      </c>
      <c r="Q191" s="4">
        <v>272314.65000000002</v>
      </c>
      <c r="R191" s="4">
        <v>135879.24</v>
      </c>
      <c r="S191" s="3" t="s">
        <v>41</v>
      </c>
    </row>
    <row r="192" spans="1:19" ht="15.75" customHeight="1">
      <c r="A192" s="2">
        <v>45616</v>
      </c>
      <c r="B192" s="3">
        <v>2024</v>
      </c>
      <c r="C192" s="3" t="s">
        <v>93</v>
      </c>
      <c r="D192" s="3" t="s">
        <v>89</v>
      </c>
      <c r="E192" s="3" t="s">
        <v>79</v>
      </c>
      <c r="F192" s="3" t="s">
        <v>91</v>
      </c>
      <c r="G192" s="3" t="s">
        <v>166</v>
      </c>
      <c r="H192" s="3" t="s">
        <v>120</v>
      </c>
      <c r="I192" s="3" t="s">
        <v>27</v>
      </c>
      <c r="J192" s="3" t="s">
        <v>114</v>
      </c>
      <c r="K192" s="3" t="s">
        <v>67</v>
      </c>
      <c r="L192" s="3">
        <v>11</v>
      </c>
      <c r="M192" s="4">
        <v>125823</v>
      </c>
      <c r="N192" s="6">
        <v>0.05</v>
      </c>
      <c r="O192" s="3">
        <v>71201.11</v>
      </c>
      <c r="P192" s="4">
        <v>1384053</v>
      </c>
      <c r="Q192" s="4">
        <v>1314850.3500000001</v>
      </c>
      <c r="R192" s="4">
        <v>531638.14</v>
      </c>
      <c r="S192" s="3" t="s">
        <v>41</v>
      </c>
    </row>
    <row r="193" spans="1:19" ht="15.75" customHeight="1">
      <c r="A193" s="2">
        <v>45636</v>
      </c>
      <c r="B193" s="3">
        <v>2024</v>
      </c>
      <c r="C193" s="3" t="s">
        <v>99</v>
      </c>
      <c r="D193" s="3" t="s">
        <v>89</v>
      </c>
      <c r="E193" s="3" t="s">
        <v>64</v>
      </c>
      <c r="F193" s="3" t="s">
        <v>56</v>
      </c>
      <c r="G193" s="3" t="s">
        <v>69</v>
      </c>
      <c r="H193" s="3" t="s">
        <v>112</v>
      </c>
      <c r="I193" s="3" t="s">
        <v>113</v>
      </c>
      <c r="J193" s="3" t="s">
        <v>114</v>
      </c>
      <c r="K193" s="3" t="s">
        <v>51</v>
      </c>
      <c r="L193" s="3">
        <v>36</v>
      </c>
      <c r="M193" s="4">
        <v>52262</v>
      </c>
      <c r="N193" s="6">
        <v>0</v>
      </c>
      <c r="O193" s="3">
        <v>31339.54</v>
      </c>
      <c r="P193" s="4">
        <v>1881432</v>
      </c>
      <c r="Q193" s="4">
        <v>1881432</v>
      </c>
      <c r="R193" s="4">
        <v>753208.56</v>
      </c>
      <c r="S193" s="3" t="s">
        <v>62</v>
      </c>
    </row>
    <row r="194" spans="1:19" ht="15.75" customHeight="1">
      <c r="A194" s="2">
        <v>45312</v>
      </c>
      <c r="B194" s="3">
        <v>2024</v>
      </c>
      <c r="C194" s="3" t="s">
        <v>21</v>
      </c>
      <c r="D194" s="3" t="s">
        <v>22</v>
      </c>
      <c r="E194" s="3" t="s">
        <v>55</v>
      </c>
      <c r="F194" s="3" t="s">
        <v>165</v>
      </c>
      <c r="G194" s="3" t="s">
        <v>81</v>
      </c>
      <c r="H194" s="3" t="s">
        <v>96</v>
      </c>
      <c r="I194" s="3" t="s">
        <v>47</v>
      </c>
      <c r="J194" s="3" t="s">
        <v>83</v>
      </c>
      <c r="K194" s="3" t="s">
        <v>84</v>
      </c>
      <c r="L194" s="3">
        <v>26</v>
      </c>
      <c r="M194" s="4">
        <v>81469</v>
      </c>
      <c r="N194" s="6">
        <v>0.08</v>
      </c>
      <c r="O194" s="3">
        <v>41932.78</v>
      </c>
      <c r="P194" s="4">
        <v>2118194</v>
      </c>
      <c r="Q194" s="4">
        <v>1948738.48</v>
      </c>
      <c r="R194" s="4">
        <v>858486.2</v>
      </c>
      <c r="S194" s="3" t="s">
        <v>70</v>
      </c>
    </row>
    <row r="195" spans="1:19" ht="15.75" customHeight="1">
      <c r="A195" s="2">
        <v>45341</v>
      </c>
      <c r="B195" s="3">
        <v>2024</v>
      </c>
      <c r="C195" s="3" t="s">
        <v>33</v>
      </c>
      <c r="D195" s="3" t="s">
        <v>22</v>
      </c>
      <c r="E195" s="3" t="s">
        <v>23</v>
      </c>
      <c r="F195" s="3" t="s">
        <v>147</v>
      </c>
      <c r="G195" s="3" t="s">
        <v>57</v>
      </c>
      <c r="H195" s="3" t="s">
        <v>112</v>
      </c>
      <c r="I195" s="3" t="s">
        <v>122</v>
      </c>
      <c r="J195" s="3" t="s">
        <v>114</v>
      </c>
      <c r="K195" s="3" t="s">
        <v>105</v>
      </c>
      <c r="L195" s="3">
        <v>23</v>
      </c>
      <c r="M195" s="4">
        <v>120524</v>
      </c>
      <c r="N195" s="6">
        <v>0.15</v>
      </c>
      <c r="O195" s="3">
        <v>77588.61</v>
      </c>
      <c r="P195" s="4">
        <v>2772052</v>
      </c>
      <c r="Q195" s="4">
        <v>2356244.2000000002</v>
      </c>
      <c r="R195" s="4">
        <v>571706.17000000004</v>
      </c>
      <c r="S195" s="3" t="s">
        <v>70</v>
      </c>
    </row>
    <row r="196" spans="1:19" ht="15.75" customHeight="1">
      <c r="A196" s="2">
        <v>45359</v>
      </c>
      <c r="B196" s="3">
        <v>2024</v>
      </c>
      <c r="C196" s="3" t="s">
        <v>42</v>
      </c>
      <c r="D196" s="3" t="s">
        <v>22</v>
      </c>
      <c r="E196" s="3" t="s">
        <v>34</v>
      </c>
      <c r="F196" s="3" t="s">
        <v>86</v>
      </c>
      <c r="G196" s="3" t="s">
        <v>69</v>
      </c>
      <c r="H196" s="3" t="s">
        <v>48</v>
      </c>
      <c r="I196" s="3" t="s">
        <v>124</v>
      </c>
      <c r="J196" s="3" t="s">
        <v>50</v>
      </c>
      <c r="K196" s="3" t="s">
        <v>40</v>
      </c>
      <c r="L196" s="3">
        <v>3</v>
      </c>
      <c r="M196" s="4">
        <v>147480</v>
      </c>
      <c r="N196" s="6">
        <v>0.1</v>
      </c>
      <c r="O196" s="3">
        <v>72574.710000000006</v>
      </c>
      <c r="P196" s="4">
        <v>442440</v>
      </c>
      <c r="Q196" s="4">
        <v>398196</v>
      </c>
      <c r="R196" s="4">
        <v>180471.87</v>
      </c>
      <c r="S196" s="3" t="s">
        <v>70</v>
      </c>
    </row>
    <row r="197" spans="1:19" ht="15.75" customHeight="1">
      <c r="A197" s="2">
        <v>45396</v>
      </c>
      <c r="B197" s="3">
        <v>2024</v>
      </c>
      <c r="C197" s="3" t="s">
        <v>53</v>
      </c>
      <c r="D197" s="3" t="s">
        <v>54</v>
      </c>
      <c r="E197" s="3" t="s">
        <v>23</v>
      </c>
      <c r="F197" s="3" t="s">
        <v>24</v>
      </c>
      <c r="G197" s="3" t="s">
        <v>179</v>
      </c>
      <c r="H197" s="3" t="s">
        <v>44</v>
      </c>
      <c r="I197" s="3" t="s">
        <v>47</v>
      </c>
      <c r="J197" s="3" t="s">
        <v>153</v>
      </c>
      <c r="K197" s="3" t="s">
        <v>40</v>
      </c>
      <c r="L197" s="3">
        <v>10</v>
      </c>
      <c r="M197" s="4">
        <v>79603</v>
      </c>
      <c r="N197" s="6">
        <v>0.05</v>
      </c>
      <c r="O197" s="3">
        <v>38246.03</v>
      </c>
      <c r="P197" s="4">
        <v>796030</v>
      </c>
      <c r="Q197" s="4">
        <v>756228.5</v>
      </c>
      <c r="R197" s="4">
        <v>373768.2</v>
      </c>
      <c r="S197" s="3" t="s">
        <v>52</v>
      </c>
    </row>
    <row r="198" spans="1:19" ht="15.75" customHeight="1">
      <c r="A198" s="2">
        <v>45432</v>
      </c>
      <c r="B198" s="3">
        <v>2024</v>
      </c>
      <c r="C198" s="3" t="s">
        <v>63</v>
      </c>
      <c r="D198" s="3" t="s">
        <v>54</v>
      </c>
      <c r="E198" s="3" t="s">
        <v>79</v>
      </c>
      <c r="F198" s="3" t="s">
        <v>130</v>
      </c>
      <c r="G198" s="3" t="s">
        <v>81</v>
      </c>
      <c r="H198" s="3" t="s">
        <v>37</v>
      </c>
      <c r="I198" s="3" t="s">
        <v>38</v>
      </c>
      <c r="J198" s="3" t="s">
        <v>39</v>
      </c>
      <c r="K198" s="3" t="s">
        <v>61</v>
      </c>
      <c r="L198" s="3">
        <v>10</v>
      </c>
      <c r="M198" s="4">
        <v>166123</v>
      </c>
      <c r="N198" s="6">
        <v>0.05</v>
      </c>
      <c r="O198" s="3">
        <v>128533.49</v>
      </c>
      <c r="P198" s="4">
        <v>1661230</v>
      </c>
      <c r="Q198" s="4">
        <v>1578168.5</v>
      </c>
      <c r="R198" s="4">
        <v>292833.59999999998</v>
      </c>
      <c r="S198" s="3" t="s">
        <v>52</v>
      </c>
    </row>
    <row r="199" spans="1:19" ht="15.75" customHeight="1">
      <c r="A199" s="2">
        <v>45456</v>
      </c>
      <c r="B199" s="3">
        <v>2024</v>
      </c>
      <c r="C199" s="3" t="s">
        <v>68</v>
      </c>
      <c r="D199" s="3" t="s">
        <v>54</v>
      </c>
      <c r="E199" s="3" t="s">
        <v>90</v>
      </c>
      <c r="F199" s="3" t="s">
        <v>65</v>
      </c>
      <c r="G199" s="3" t="s">
        <v>171</v>
      </c>
      <c r="H199" s="3" t="s">
        <v>112</v>
      </c>
      <c r="I199" s="3" t="s">
        <v>122</v>
      </c>
      <c r="J199" s="3" t="s">
        <v>114</v>
      </c>
      <c r="K199" s="3" t="s">
        <v>29</v>
      </c>
      <c r="L199" s="3">
        <v>18</v>
      </c>
      <c r="M199" s="4">
        <v>174069</v>
      </c>
      <c r="N199" s="6">
        <v>0.08</v>
      </c>
      <c r="O199" s="3">
        <v>80693.84</v>
      </c>
      <c r="P199" s="4">
        <v>3133242</v>
      </c>
      <c r="Q199" s="4">
        <v>2882582.64</v>
      </c>
      <c r="R199" s="4">
        <v>1430093.52</v>
      </c>
      <c r="S199" s="3" t="s">
        <v>62</v>
      </c>
    </row>
    <row r="200" spans="1:19" ht="15.75" customHeight="1">
      <c r="A200" s="2">
        <v>45484</v>
      </c>
      <c r="B200" s="3">
        <v>2024</v>
      </c>
      <c r="C200" s="3" t="s">
        <v>72</v>
      </c>
      <c r="D200" s="3" t="s">
        <v>73</v>
      </c>
      <c r="E200" s="3" t="s">
        <v>43</v>
      </c>
      <c r="F200" s="3" t="s">
        <v>80</v>
      </c>
      <c r="G200" s="3" t="s">
        <v>36</v>
      </c>
      <c r="H200" s="3" t="s">
        <v>44</v>
      </c>
      <c r="I200" s="3" t="s">
        <v>59</v>
      </c>
      <c r="J200" s="3" t="s">
        <v>153</v>
      </c>
      <c r="K200" s="3" t="s">
        <v>40</v>
      </c>
      <c r="L200" s="3">
        <v>32</v>
      </c>
      <c r="M200" s="4">
        <v>37747</v>
      </c>
      <c r="N200" s="6">
        <v>0.15</v>
      </c>
      <c r="O200" s="3">
        <v>18761.580000000002</v>
      </c>
      <c r="P200" s="4">
        <v>1207904</v>
      </c>
      <c r="Q200" s="4">
        <v>1026718.4</v>
      </c>
      <c r="R200" s="4">
        <v>426347.84</v>
      </c>
      <c r="S200" s="3" t="s">
        <v>149</v>
      </c>
    </row>
    <row r="201" spans="1:19" ht="15.75" customHeight="1">
      <c r="A201" s="2">
        <v>45511</v>
      </c>
      <c r="B201" s="3">
        <v>2024</v>
      </c>
      <c r="C201" s="3" t="s">
        <v>78</v>
      </c>
      <c r="D201" s="3" t="s">
        <v>73</v>
      </c>
      <c r="E201" s="3" t="s">
        <v>34</v>
      </c>
      <c r="F201" s="3" t="s">
        <v>35</v>
      </c>
      <c r="G201" s="3" t="s">
        <v>111</v>
      </c>
      <c r="H201" s="3" t="s">
        <v>82</v>
      </c>
      <c r="I201" s="3" t="s">
        <v>47</v>
      </c>
      <c r="J201" s="3" t="s">
        <v>83</v>
      </c>
      <c r="K201" s="3" t="s">
        <v>40</v>
      </c>
      <c r="L201" s="3">
        <v>34</v>
      </c>
      <c r="M201" s="4">
        <v>26734</v>
      </c>
      <c r="N201" s="6">
        <v>0.1</v>
      </c>
      <c r="O201" s="3">
        <v>12644.27</v>
      </c>
      <c r="P201" s="4">
        <v>908956</v>
      </c>
      <c r="Q201" s="4">
        <v>818060.4</v>
      </c>
      <c r="R201" s="4">
        <v>388155.22</v>
      </c>
      <c r="S201" s="3" t="s">
        <v>149</v>
      </c>
    </row>
    <row r="202" spans="1:19" ht="15.75" customHeight="1">
      <c r="A202" s="2">
        <v>45542</v>
      </c>
      <c r="B202" s="3">
        <v>2024</v>
      </c>
      <c r="C202" s="3" t="s">
        <v>85</v>
      </c>
      <c r="D202" s="3" t="s">
        <v>73</v>
      </c>
      <c r="E202" s="3" t="s">
        <v>43</v>
      </c>
      <c r="F202" s="3" t="s">
        <v>115</v>
      </c>
      <c r="G202" s="3" t="s">
        <v>25</v>
      </c>
      <c r="H202" s="3" t="s">
        <v>96</v>
      </c>
      <c r="I202" s="3" t="s">
        <v>38</v>
      </c>
      <c r="J202" s="3" t="s">
        <v>83</v>
      </c>
      <c r="K202" s="3" t="s">
        <v>105</v>
      </c>
      <c r="L202" s="3">
        <v>30</v>
      </c>
      <c r="M202" s="4">
        <v>106470</v>
      </c>
      <c r="N202" s="6">
        <v>0.2</v>
      </c>
      <c r="O202" s="3">
        <v>61637.95</v>
      </c>
      <c r="P202" s="4">
        <v>3194100</v>
      </c>
      <c r="Q202" s="4">
        <v>2555280</v>
      </c>
      <c r="R202" s="4">
        <v>706141.5</v>
      </c>
      <c r="S202" s="3" t="s">
        <v>70</v>
      </c>
    </row>
    <row r="203" spans="1:19" ht="15.75" customHeight="1">
      <c r="A203" s="2">
        <v>45585</v>
      </c>
      <c r="B203" s="3">
        <v>2024</v>
      </c>
      <c r="C203" s="3" t="s">
        <v>88</v>
      </c>
      <c r="D203" s="3" t="s">
        <v>89</v>
      </c>
      <c r="E203" s="3" t="s">
        <v>34</v>
      </c>
      <c r="F203" s="3" t="s">
        <v>35</v>
      </c>
      <c r="G203" s="3" t="s">
        <v>175</v>
      </c>
      <c r="H203" s="3" t="s">
        <v>75</v>
      </c>
      <c r="I203" s="3" t="s">
        <v>47</v>
      </c>
      <c r="J203" s="3" t="s">
        <v>76</v>
      </c>
      <c r="K203" s="3" t="s">
        <v>84</v>
      </c>
      <c r="L203" s="3">
        <v>11</v>
      </c>
      <c r="M203" s="4">
        <v>79806</v>
      </c>
      <c r="N203" s="6">
        <v>0.05</v>
      </c>
      <c r="O203" s="3">
        <v>43875.29</v>
      </c>
      <c r="P203" s="4">
        <v>877866</v>
      </c>
      <c r="Q203" s="4">
        <v>833972.7</v>
      </c>
      <c r="R203" s="4">
        <v>351344.51</v>
      </c>
      <c r="S203" s="3" t="s">
        <v>70</v>
      </c>
    </row>
    <row r="204" spans="1:19" ht="15.75" customHeight="1">
      <c r="A204" s="2">
        <v>45604</v>
      </c>
      <c r="B204" s="3">
        <v>2024</v>
      </c>
      <c r="C204" s="3" t="s">
        <v>93</v>
      </c>
      <c r="D204" s="3" t="s">
        <v>89</v>
      </c>
      <c r="E204" s="3" t="s">
        <v>90</v>
      </c>
      <c r="F204" s="3" t="s">
        <v>35</v>
      </c>
      <c r="G204" s="3" t="s">
        <v>178</v>
      </c>
      <c r="H204" s="3" t="s">
        <v>26</v>
      </c>
      <c r="I204" s="3" t="s">
        <v>27</v>
      </c>
      <c r="J204" s="3" t="s">
        <v>28</v>
      </c>
      <c r="K204" s="3" t="s">
        <v>51</v>
      </c>
      <c r="L204" s="3">
        <v>2</v>
      </c>
      <c r="M204" s="4">
        <v>14332</v>
      </c>
      <c r="N204" s="6">
        <v>0.1</v>
      </c>
      <c r="O204" s="3">
        <v>9696.75</v>
      </c>
      <c r="P204" s="4">
        <v>28664</v>
      </c>
      <c r="Q204" s="4">
        <v>25797.599999999999</v>
      </c>
      <c r="R204" s="4">
        <v>6404.1</v>
      </c>
      <c r="S204" s="3" t="s">
        <v>52</v>
      </c>
    </row>
    <row r="205" spans="1:19" ht="15.75" customHeight="1">
      <c r="A205" s="2">
        <v>45647</v>
      </c>
      <c r="B205" s="3">
        <v>2024</v>
      </c>
      <c r="C205" s="3" t="s">
        <v>99</v>
      </c>
      <c r="D205" s="3" t="s">
        <v>89</v>
      </c>
      <c r="E205" s="3" t="s">
        <v>55</v>
      </c>
      <c r="F205" s="3" t="s">
        <v>65</v>
      </c>
      <c r="G205" s="3" t="s">
        <v>175</v>
      </c>
      <c r="H205" s="3" t="s">
        <v>37</v>
      </c>
      <c r="I205" s="3" t="s">
        <v>59</v>
      </c>
      <c r="J205" s="3" t="s">
        <v>39</v>
      </c>
      <c r="K205" s="3" t="s">
        <v>61</v>
      </c>
      <c r="L205" s="3">
        <v>17</v>
      </c>
      <c r="M205" s="4">
        <v>91205</v>
      </c>
      <c r="N205" s="6">
        <v>0.08</v>
      </c>
      <c r="O205" s="3">
        <v>59700.1</v>
      </c>
      <c r="P205" s="4">
        <v>1550485</v>
      </c>
      <c r="Q205" s="4">
        <v>1426446.2</v>
      </c>
      <c r="R205" s="4">
        <v>411544.5</v>
      </c>
      <c r="S205" s="3" t="s">
        <v>32</v>
      </c>
    </row>
    <row r="206" spans="1:19" ht="15.75" customHeight="1">
      <c r="A206" s="2">
        <v>45311</v>
      </c>
      <c r="B206" s="3">
        <v>2024</v>
      </c>
      <c r="C206" s="3" t="s">
        <v>21</v>
      </c>
      <c r="D206" s="3" t="s">
        <v>22</v>
      </c>
      <c r="E206" s="3" t="s">
        <v>55</v>
      </c>
      <c r="F206" s="3" t="s">
        <v>86</v>
      </c>
      <c r="G206" s="3" t="s">
        <v>156</v>
      </c>
      <c r="H206" s="3" t="s">
        <v>48</v>
      </c>
      <c r="I206" s="3" t="s">
        <v>124</v>
      </c>
      <c r="J206" s="3" t="s">
        <v>50</v>
      </c>
      <c r="K206" s="3" t="s">
        <v>105</v>
      </c>
      <c r="L206" s="3">
        <v>22</v>
      </c>
      <c r="M206" s="4">
        <v>179928</v>
      </c>
      <c r="N206" s="6">
        <v>0.2</v>
      </c>
      <c r="O206" s="3">
        <v>97413.27</v>
      </c>
      <c r="P206" s="4">
        <v>3958416</v>
      </c>
      <c r="Q206" s="4">
        <v>3166732.8</v>
      </c>
      <c r="R206" s="4">
        <v>1023640.86</v>
      </c>
      <c r="S206" s="3" t="s">
        <v>149</v>
      </c>
    </row>
    <row r="207" spans="1:19" ht="15.75" customHeight="1">
      <c r="A207" s="2">
        <v>45348</v>
      </c>
      <c r="B207" s="3">
        <v>2024</v>
      </c>
      <c r="C207" s="3" t="s">
        <v>33</v>
      </c>
      <c r="D207" s="3" t="s">
        <v>22</v>
      </c>
      <c r="E207" s="3" t="s">
        <v>43</v>
      </c>
      <c r="F207" s="3" t="s">
        <v>130</v>
      </c>
      <c r="G207" s="3" t="s">
        <v>176</v>
      </c>
      <c r="H207" s="3" t="s">
        <v>44</v>
      </c>
      <c r="I207" s="3" t="s">
        <v>47</v>
      </c>
      <c r="J207" s="3" t="s">
        <v>153</v>
      </c>
      <c r="K207" s="3" t="s">
        <v>67</v>
      </c>
      <c r="L207" s="3">
        <v>9</v>
      </c>
      <c r="M207" s="4">
        <v>142383</v>
      </c>
      <c r="N207" s="6">
        <v>0.2</v>
      </c>
      <c r="O207" s="3">
        <v>109267.43</v>
      </c>
      <c r="P207" s="4">
        <v>1281447</v>
      </c>
      <c r="Q207" s="4">
        <v>1025157.6</v>
      </c>
      <c r="R207" s="4">
        <v>41750.730000000003</v>
      </c>
      <c r="S207" s="3" t="s">
        <v>70</v>
      </c>
    </row>
    <row r="208" spans="1:19" ht="15.75" customHeight="1">
      <c r="A208" s="2">
        <v>45375</v>
      </c>
      <c r="B208" s="3">
        <v>2024</v>
      </c>
      <c r="C208" s="3" t="s">
        <v>42</v>
      </c>
      <c r="D208" s="3" t="s">
        <v>22</v>
      </c>
      <c r="E208" s="3" t="s">
        <v>90</v>
      </c>
      <c r="F208" s="3" t="s">
        <v>147</v>
      </c>
      <c r="G208" s="3" t="s">
        <v>92</v>
      </c>
      <c r="H208" s="3" t="s">
        <v>120</v>
      </c>
      <c r="I208" s="3" t="s">
        <v>27</v>
      </c>
      <c r="J208" s="3" t="s">
        <v>114</v>
      </c>
      <c r="K208" s="3" t="s">
        <v>67</v>
      </c>
      <c r="L208" s="3">
        <v>31</v>
      </c>
      <c r="M208" s="4">
        <v>105977</v>
      </c>
      <c r="N208" s="6">
        <v>0.1</v>
      </c>
      <c r="O208" s="3">
        <v>78870.58</v>
      </c>
      <c r="P208" s="4">
        <v>3285287</v>
      </c>
      <c r="Q208" s="4">
        <v>2956758.3</v>
      </c>
      <c r="R208" s="4">
        <v>511770.32</v>
      </c>
      <c r="S208" s="3" t="s">
        <v>52</v>
      </c>
    </row>
    <row r="209" spans="1:19" ht="15.75" customHeight="1">
      <c r="A209" s="2">
        <v>45404</v>
      </c>
      <c r="B209" s="3">
        <v>2024</v>
      </c>
      <c r="C209" s="3" t="s">
        <v>53</v>
      </c>
      <c r="D209" s="3" t="s">
        <v>54</v>
      </c>
      <c r="E209" s="3" t="s">
        <v>55</v>
      </c>
      <c r="F209" s="3" t="s">
        <v>101</v>
      </c>
      <c r="G209" s="3" t="s">
        <v>168</v>
      </c>
      <c r="H209" s="3" t="s">
        <v>96</v>
      </c>
      <c r="I209" s="3" t="s">
        <v>59</v>
      </c>
      <c r="J209" s="3" t="s">
        <v>83</v>
      </c>
      <c r="K209" s="3" t="s">
        <v>84</v>
      </c>
      <c r="L209" s="3">
        <v>15</v>
      </c>
      <c r="M209" s="4">
        <v>92500</v>
      </c>
      <c r="N209" s="6"/>
      <c r="O209" s="3">
        <v>53658.22</v>
      </c>
      <c r="P209" s="4">
        <v>1387500</v>
      </c>
      <c r="Q209" s="4">
        <v>1387500</v>
      </c>
      <c r="R209" s="4">
        <v>582626.69999999995</v>
      </c>
      <c r="S209" s="3" t="s">
        <v>52</v>
      </c>
    </row>
    <row r="210" spans="1:19" ht="15.75" customHeight="1">
      <c r="A210" s="2">
        <v>45432</v>
      </c>
      <c r="B210" s="3">
        <v>2024</v>
      </c>
      <c r="C210" s="3" t="s">
        <v>63</v>
      </c>
      <c r="D210" s="3" t="s">
        <v>54</v>
      </c>
      <c r="E210" s="3" t="s">
        <v>23</v>
      </c>
      <c r="F210" s="3" t="s">
        <v>91</v>
      </c>
      <c r="G210" s="3" t="s">
        <v>182</v>
      </c>
      <c r="H210" s="3" t="s">
        <v>48</v>
      </c>
      <c r="I210" s="3" t="s">
        <v>124</v>
      </c>
      <c r="J210" s="3" t="s">
        <v>50</v>
      </c>
      <c r="K210" s="3" t="s">
        <v>105</v>
      </c>
      <c r="L210" s="3">
        <v>25</v>
      </c>
      <c r="M210" s="4">
        <v>120293</v>
      </c>
      <c r="N210" s="6">
        <v>0.1</v>
      </c>
      <c r="O210" s="3">
        <v>59915.28</v>
      </c>
      <c r="P210" s="4">
        <v>3007325</v>
      </c>
      <c r="Q210" s="4">
        <v>2706592.5</v>
      </c>
      <c r="R210" s="4">
        <v>1208710.5</v>
      </c>
      <c r="S210" s="3" t="s">
        <v>41</v>
      </c>
    </row>
    <row r="211" spans="1:19" ht="15.75" customHeight="1">
      <c r="A211" s="2">
        <v>45471</v>
      </c>
      <c r="B211" s="3">
        <v>2024</v>
      </c>
      <c r="C211" s="3" t="s">
        <v>68</v>
      </c>
      <c r="D211" s="3" t="s">
        <v>54</v>
      </c>
      <c r="E211" s="3" t="s">
        <v>90</v>
      </c>
      <c r="F211" s="3" t="s">
        <v>115</v>
      </c>
      <c r="G211" s="3" t="s">
        <v>111</v>
      </c>
      <c r="H211" s="3" t="s">
        <v>120</v>
      </c>
      <c r="I211" s="3" t="s">
        <v>113</v>
      </c>
      <c r="J211" s="3" t="s">
        <v>114</v>
      </c>
      <c r="K211" s="3" t="s">
        <v>84</v>
      </c>
      <c r="L211" s="3">
        <v>12</v>
      </c>
      <c r="M211" s="4">
        <v>108828</v>
      </c>
      <c r="N211" s="6">
        <v>0.2</v>
      </c>
      <c r="O211" s="3">
        <v>56947.93</v>
      </c>
      <c r="P211" s="4">
        <v>1305936</v>
      </c>
      <c r="Q211" s="4">
        <v>1044748.8</v>
      </c>
      <c r="R211" s="4">
        <v>361373.64</v>
      </c>
      <c r="S211" s="3" t="s">
        <v>41</v>
      </c>
    </row>
    <row r="212" spans="1:19" ht="15.75" customHeight="1">
      <c r="A212" s="2">
        <v>45487</v>
      </c>
      <c r="B212" s="3">
        <v>2024</v>
      </c>
      <c r="C212" s="3" t="s">
        <v>72</v>
      </c>
      <c r="D212" s="3" t="s">
        <v>73</v>
      </c>
      <c r="E212" s="3" t="s">
        <v>90</v>
      </c>
      <c r="F212" s="3" t="s">
        <v>65</v>
      </c>
      <c r="G212" s="3" t="s">
        <v>144</v>
      </c>
      <c r="H212" s="3" t="s">
        <v>48</v>
      </c>
      <c r="I212" s="3" t="s">
        <v>49</v>
      </c>
      <c r="J212" s="3" t="s">
        <v>50</v>
      </c>
      <c r="K212" s="3" t="s">
        <v>61</v>
      </c>
      <c r="L212" s="3">
        <v>200</v>
      </c>
      <c r="M212" s="4">
        <v>109806</v>
      </c>
      <c r="N212" s="6"/>
      <c r="O212" s="3">
        <v>78499.95</v>
      </c>
      <c r="P212" s="4">
        <v>21961200</v>
      </c>
      <c r="Q212" s="4">
        <v>21961200</v>
      </c>
      <c r="R212" s="4">
        <v>6261210</v>
      </c>
      <c r="S212" s="3" t="s">
        <v>52</v>
      </c>
    </row>
    <row r="213" spans="1:19" ht="15.75" customHeight="1">
      <c r="A213" s="2">
        <v>45514</v>
      </c>
      <c r="B213" s="3">
        <v>2024</v>
      </c>
      <c r="C213" s="3" t="s">
        <v>78</v>
      </c>
      <c r="D213" s="3" t="s">
        <v>73</v>
      </c>
      <c r="E213" s="3" t="s">
        <v>64</v>
      </c>
      <c r="F213" s="3" t="s">
        <v>165</v>
      </c>
      <c r="G213" s="3" t="s">
        <v>182</v>
      </c>
      <c r="H213" s="3" t="s">
        <v>120</v>
      </c>
      <c r="I213" s="3" t="s">
        <v>122</v>
      </c>
      <c r="J213" s="3" t="s">
        <v>114</v>
      </c>
      <c r="K213" s="3" t="s">
        <v>51</v>
      </c>
      <c r="L213" s="3">
        <v>20</v>
      </c>
      <c r="M213" s="4">
        <v>23984</v>
      </c>
      <c r="N213" s="6">
        <v>0.2</v>
      </c>
      <c r="O213" s="3">
        <v>14620.03</v>
      </c>
      <c r="P213" s="4">
        <v>479680</v>
      </c>
      <c r="Q213" s="4">
        <v>383744</v>
      </c>
      <c r="R213" s="4">
        <v>91343.4</v>
      </c>
      <c r="S213" s="3" t="s">
        <v>52</v>
      </c>
    </row>
    <row r="214" spans="1:19" ht="15.75" customHeight="1">
      <c r="A214" s="2">
        <v>45547</v>
      </c>
      <c r="B214" s="3">
        <v>2024</v>
      </c>
      <c r="C214" s="3" t="s">
        <v>85</v>
      </c>
      <c r="D214" s="3" t="s">
        <v>73</v>
      </c>
      <c r="E214" s="3" t="s">
        <v>43</v>
      </c>
      <c r="F214" s="3" t="s">
        <v>115</v>
      </c>
      <c r="G214" s="3" t="s">
        <v>184</v>
      </c>
      <c r="H214" s="3" t="s">
        <v>75</v>
      </c>
      <c r="I214" s="3" t="s">
        <v>59</v>
      </c>
      <c r="J214" s="3" t="s">
        <v>76</v>
      </c>
      <c r="K214" s="3" t="s">
        <v>105</v>
      </c>
      <c r="L214" s="3">
        <v>15</v>
      </c>
      <c r="M214" s="4">
        <v>46394</v>
      </c>
      <c r="N214" s="6">
        <v>0</v>
      </c>
      <c r="O214" s="3">
        <v>30452.67</v>
      </c>
      <c r="P214" s="4">
        <v>695910</v>
      </c>
      <c r="Q214" s="4">
        <v>695910</v>
      </c>
      <c r="R214" s="4">
        <v>239119.95</v>
      </c>
      <c r="S214" s="3" t="s">
        <v>41</v>
      </c>
    </row>
    <row r="215" spans="1:19" ht="15.75" customHeight="1">
      <c r="A215" s="2">
        <v>45590</v>
      </c>
      <c r="B215" s="3">
        <v>2024</v>
      </c>
      <c r="C215" s="3" t="s">
        <v>88</v>
      </c>
      <c r="D215" s="3" t="s">
        <v>89</v>
      </c>
      <c r="E215" s="3" t="s">
        <v>79</v>
      </c>
      <c r="F215" s="3" t="s">
        <v>132</v>
      </c>
      <c r="G215" s="3" t="s">
        <v>145</v>
      </c>
      <c r="H215" s="3" t="s">
        <v>112</v>
      </c>
      <c r="I215" s="3" t="s">
        <v>27</v>
      </c>
      <c r="J215" s="3" t="s">
        <v>114</v>
      </c>
      <c r="K215" s="3" t="s">
        <v>67</v>
      </c>
      <c r="L215" s="3">
        <v>7</v>
      </c>
      <c r="M215" s="4">
        <v>17175</v>
      </c>
      <c r="N215" s="6">
        <v>0.05</v>
      </c>
      <c r="O215" s="3">
        <v>10234.09</v>
      </c>
      <c r="P215" s="4">
        <v>120225</v>
      </c>
      <c r="Q215" s="4">
        <v>114213.75</v>
      </c>
      <c r="R215" s="4">
        <v>42575.12</v>
      </c>
      <c r="S215" s="3" t="s">
        <v>70</v>
      </c>
    </row>
    <row r="216" spans="1:19" ht="15.75" customHeight="1">
      <c r="A216" s="2">
        <v>45597</v>
      </c>
      <c r="B216" s="3">
        <v>2024</v>
      </c>
      <c r="C216" s="3" t="s">
        <v>93</v>
      </c>
      <c r="D216" s="3" t="s">
        <v>89</v>
      </c>
      <c r="E216" s="3" t="s">
        <v>55</v>
      </c>
      <c r="F216" s="3" t="s">
        <v>91</v>
      </c>
      <c r="G216" s="3" t="s">
        <v>148</v>
      </c>
      <c r="H216" s="3" t="s">
        <v>26</v>
      </c>
      <c r="I216" s="3" t="s">
        <v>113</v>
      </c>
      <c r="J216" s="3" t="s">
        <v>28</v>
      </c>
      <c r="K216" s="3" t="s">
        <v>84</v>
      </c>
      <c r="L216" s="3">
        <v>40</v>
      </c>
      <c r="M216" s="4">
        <v>47956</v>
      </c>
      <c r="N216" s="6">
        <v>0.05</v>
      </c>
      <c r="O216" s="3">
        <v>30166.95</v>
      </c>
      <c r="P216" s="4">
        <v>1918240</v>
      </c>
      <c r="Q216" s="4">
        <v>1822328</v>
      </c>
      <c r="R216" s="4">
        <v>615650</v>
      </c>
      <c r="S216" s="3" t="s">
        <v>52</v>
      </c>
    </row>
    <row r="217" spans="1:19" ht="15.75" customHeight="1">
      <c r="A217" s="2">
        <v>45653</v>
      </c>
      <c r="B217" s="3">
        <v>2024</v>
      </c>
      <c r="C217" s="3" t="s">
        <v>99</v>
      </c>
      <c r="D217" s="3" t="s">
        <v>89</v>
      </c>
      <c r="E217" s="3" t="s">
        <v>79</v>
      </c>
      <c r="F217" s="3" t="s">
        <v>35</v>
      </c>
      <c r="H217" s="3" t="s">
        <v>112</v>
      </c>
      <c r="I217" s="3" t="s">
        <v>122</v>
      </c>
      <c r="J217" s="3" t="s">
        <v>114</v>
      </c>
      <c r="K217" s="3" t="s">
        <v>84</v>
      </c>
      <c r="L217" s="3">
        <v>132</v>
      </c>
      <c r="M217" s="4">
        <v>66445</v>
      </c>
      <c r="N217" s="6">
        <v>0.12</v>
      </c>
      <c r="O217" s="3">
        <v>37588.69</v>
      </c>
      <c r="P217" s="4">
        <v>8770740</v>
      </c>
      <c r="Q217" s="4">
        <v>7718251.2000000002</v>
      </c>
      <c r="R217" s="4">
        <v>2756544.12</v>
      </c>
      <c r="S217" s="3" t="s">
        <v>32</v>
      </c>
    </row>
    <row r="218" spans="1:19" ht="15.75" customHeight="1">
      <c r="A218" s="2">
        <v>45294</v>
      </c>
      <c r="B218" s="3">
        <v>2024</v>
      </c>
      <c r="C218" s="3" t="s">
        <v>21</v>
      </c>
      <c r="D218" s="3" t="s">
        <v>22</v>
      </c>
      <c r="E218" s="3" t="s">
        <v>43</v>
      </c>
      <c r="F218" s="3" t="s">
        <v>132</v>
      </c>
      <c r="G218" s="3" t="s">
        <v>57</v>
      </c>
      <c r="H218" s="3" t="s">
        <v>96</v>
      </c>
      <c r="I218" s="3" t="s">
        <v>38</v>
      </c>
      <c r="J218" s="3" t="s">
        <v>83</v>
      </c>
      <c r="K218" s="3" t="s">
        <v>84</v>
      </c>
      <c r="L218" s="3">
        <v>15</v>
      </c>
      <c r="M218" s="4">
        <v>89600</v>
      </c>
      <c r="N218" s="6">
        <v>0</v>
      </c>
      <c r="O218" s="3">
        <v>43450.01</v>
      </c>
      <c r="P218" s="4">
        <v>1344000</v>
      </c>
      <c r="Q218" s="4">
        <v>1344000</v>
      </c>
      <c r="R218" s="4">
        <v>692249.85</v>
      </c>
      <c r="S218" s="3" t="s">
        <v>41</v>
      </c>
    </row>
    <row r="219" spans="1:19" ht="15.75" customHeight="1">
      <c r="A219" s="2">
        <v>45326</v>
      </c>
      <c r="B219" s="3">
        <v>2024</v>
      </c>
      <c r="C219" s="3" t="s">
        <v>33</v>
      </c>
      <c r="D219" s="3" t="s">
        <v>22</v>
      </c>
      <c r="E219" s="3" t="s">
        <v>23</v>
      </c>
      <c r="F219" s="3" t="s">
        <v>56</v>
      </c>
      <c r="G219" s="3" t="s">
        <v>187</v>
      </c>
      <c r="H219" s="3" t="s">
        <v>37</v>
      </c>
      <c r="I219" s="3" t="s">
        <v>38</v>
      </c>
      <c r="J219" s="3" t="s">
        <v>39</v>
      </c>
      <c r="K219" s="3" t="s">
        <v>67</v>
      </c>
      <c r="L219" s="3">
        <v>11</v>
      </c>
      <c r="M219" s="4">
        <v>126744</v>
      </c>
      <c r="N219" s="6">
        <v>0.2</v>
      </c>
      <c r="O219" s="3">
        <v>96004.33</v>
      </c>
      <c r="P219" s="4">
        <v>1394184</v>
      </c>
      <c r="Q219" s="4">
        <v>1115347.2</v>
      </c>
      <c r="R219" s="4">
        <v>59299.57</v>
      </c>
      <c r="S219" s="3" t="s">
        <v>32</v>
      </c>
    </row>
    <row r="220" spans="1:19" ht="15.75" customHeight="1">
      <c r="A220" s="2">
        <v>45378</v>
      </c>
      <c r="B220" s="3">
        <v>2024</v>
      </c>
      <c r="C220" s="3" t="s">
        <v>42</v>
      </c>
      <c r="D220" s="3" t="s">
        <v>22</v>
      </c>
      <c r="E220" s="3" t="s">
        <v>34</v>
      </c>
      <c r="F220" s="3" t="s">
        <v>24</v>
      </c>
      <c r="G220" s="3" t="s">
        <v>142</v>
      </c>
      <c r="H220" s="3" t="s">
        <v>112</v>
      </c>
      <c r="I220" s="3" t="s">
        <v>122</v>
      </c>
      <c r="J220" s="3" t="s">
        <v>114</v>
      </c>
      <c r="K220" s="3" t="s">
        <v>67</v>
      </c>
      <c r="L220" s="3">
        <v>11</v>
      </c>
      <c r="M220" s="4">
        <v>27373</v>
      </c>
      <c r="N220" s="6">
        <v>0.1</v>
      </c>
      <c r="O220" s="3">
        <v>13311.48</v>
      </c>
      <c r="P220" s="4">
        <v>301103</v>
      </c>
      <c r="Q220" s="4">
        <v>270992.7</v>
      </c>
      <c r="R220" s="4">
        <v>124566.42</v>
      </c>
      <c r="S220" s="3" t="s">
        <v>52</v>
      </c>
    </row>
    <row r="221" spans="1:19" ht="15.75" customHeight="1">
      <c r="A221" s="2">
        <v>45383</v>
      </c>
      <c r="B221" s="3">
        <v>2024</v>
      </c>
      <c r="C221" s="3" t="s">
        <v>53</v>
      </c>
      <c r="D221" s="3" t="s">
        <v>54</v>
      </c>
      <c r="E221" s="3" t="s">
        <v>43</v>
      </c>
      <c r="F221" s="3" t="s">
        <v>95</v>
      </c>
      <c r="H221" s="3" t="s">
        <v>48</v>
      </c>
      <c r="I221" s="3" t="s">
        <v>49</v>
      </c>
      <c r="J221" s="3" t="s">
        <v>50</v>
      </c>
      <c r="K221" s="3" t="s">
        <v>61</v>
      </c>
      <c r="L221" s="3">
        <v>32</v>
      </c>
      <c r="M221" s="4">
        <v>119815</v>
      </c>
      <c r="N221" s="6">
        <v>0.05</v>
      </c>
      <c r="O221" s="3">
        <v>64887.55</v>
      </c>
      <c r="P221" s="4">
        <v>3834080</v>
      </c>
      <c r="Q221" s="4">
        <v>3642376</v>
      </c>
      <c r="R221" s="4">
        <v>1565974.4</v>
      </c>
      <c r="S221" s="3" t="s">
        <v>62</v>
      </c>
    </row>
    <row r="222" spans="1:19" ht="15.75" customHeight="1">
      <c r="A222" s="2">
        <v>45420</v>
      </c>
      <c r="B222" s="3">
        <v>2024</v>
      </c>
      <c r="C222" s="3" t="s">
        <v>63</v>
      </c>
      <c r="D222" s="3" t="s">
        <v>54</v>
      </c>
      <c r="E222" s="3" t="s">
        <v>90</v>
      </c>
      <c r="F222" s="3" t="s">
        <v>86</v>
      </c>
      <c r="G222" s="3" t="s">
        <v>166</v>
      </c>
      <c r="H222" s="3" t="s">
        <v>48</v>
      </c>
      <c r="I222" s="3" t="s">
        <v>103</v>
      </c>
      <c r="J222" s="3" t="s">
        <v>50</v>
      </c>
      <c r="K222" s="3" t="s">
        <v>67</v>
      </c>
      <c r="L222" s="3">
        <v>16</v>
      </c>
      <c r="M222" s="4">
        <v>112893</v>
      </c>
      <c r="N222" s="6">
        <v>0</v>
      </c>
      <c r="O222" s="3">
        <v>51261.97</v>
      </c>
      <c r="P222" s="4">
        <v>1806288</v>
      </c>
      <c r="Q222" s="4">
        <v>1806288</v>
      </c>
      <c r="R222" s="4">
        <v>986096.48</v>
      </c>
      <c r="S222" s="3" t="s">
        <v>41</v>
      </c>
    </row>
    <row r="223" spans="1:19" ht="15.75" customHeight="1">
      <c r="A223" s="2">
        <v>45451</v>
      </c>
      <c r="B223" s="3">
        <v>2024</v>
      </c>
      <c r="C223" s="3" t="s">
        <v>68</v>
      </c>
      <c r="D223" s="3" t="s">
        <v>54</v>
      </c>
      <c r="E223" s="3" t="s">
        <v>55</v>
      </c>
      <c r="F223" s="3" t="s">
        <v>86</v>
      </c>
      <c r="G223" s="3" t="s">
        <v>182</v>
      </c>
      <c r="H223" s="3" t="s">
        <v>120</v>
      </c>
      <c r="I223" s="3" t="s">
        <v>122</v>
      </c>
      <c r="J223" s="3" t="s">
        <v>114</v>
      </c>
      <c r="K223" s="3" t="s">
        <v>29</v>
      </c>
      <c r="L223" s="3">
        <v>36</v>
      </c>
      <c r="M223" s="4">
        <v>117716</v>
      </c>
      <c r="N223" s="6">
        <v>0.05</v>
      </c>
      <c r="O223" s="3">
        <v>71887.17</v>
      </c>
      <c r="P223" s="4">
        <v>4237776</v>
      </c>
      <c r="Q223" s="4">
        <v>4025887.2</v>
      </c>
      <c r="R223" s="4">
        <v>1437949.08</v>
      </c>
      <c r="S223" s="3" t="s">
        <v>52</v>
      </c>
    </row>
    <row r="224" spans="1:19" ht="15.75" customHeight="1">
      <c r="A224" s="2">
        <v>45494</v>
      </c>
      <c r="B224" s="3">
        <v>2024</v>
      </c>
      <c r="C224" s="3" t="s">
        <v>72</v>
      </c>
      <c r="D224" s="3" t="s">
        <v>73</v>
      </c>
      <c r="E224" s="3" t="s">
        <v>23</v>
      </c>
      <c r="F224" s="3" t="s">
        <v>165</v>
      </c>
      <c r="G224" s="3" t="s">
        <v>178</v>
      </c>
      <c r="H224" s="3" t="s">
        <v>37</v>
      </c>
      <c r="I224" s="3" t="s">
        <v>47</v>
      </c>
      <c r="J224" s="3" t="s">
        <v>39</v>
      </c>
      <c r="K224" s="3" t="s">
        <v>105</v>
      </c>
      <c r="L224" s="3">
        <v>36</v>
      </c>
      <c r="M224" s="4">
        <v>35827</v>
      </c>
      <c r="N224" s="6">
        <v>0.2</v>
      </c>
      <c r="O224" s="3">
        <v>27283.65</v>
      </c>
      <c r="P224" s="4">
        <v>1289772</v>
      </c>
      <c r="Q224" s="4">
        <v>1031817.6</v>
      </c>
      <c r="R224" s="4">
        <v>49606.2</v>
      </c>
      <c r="S224" s="3" t="s">
        <v>52</v>
      </c>
    </row>
    <row r="225" spans="1:19" ht="15.75" customHeight="1">
      <c r="A225" s="2">
        <v>45532</v>
      </c>
      <c r="B225" s="3">
        <v>2024</v>
      </c>
      <c r="C225" s="3" t="s">
        <v>78</v>
      </c>
      <c r="D225" s="3" t="s">
        <v>73</v>
      </c>
      <c r="E225" s="3" t="s">
        <v>34</v>
      </c>
      <c r="F225" s="3" t="s">
        <v>80</v>
      </c>
      <c r="G225" s="3" t="s">
        <v>188</v>
      </c>
      <c r="H225" s="3" t="s">
        <v>58</v>
      </c>
      <c r="I225" s="3" t="s">
        <v>38</v>
      </c>
      <c r="J225" s="3" t="s">
        <v>60</v>
      </c>
      <c r="K225" s="3" t="s">
        <v>67</v>
      </c>
      <c r="L225" s="3">
        <v>29</v>
      </c>
      <c r="M225" s="4">
        <v>280516</v>
      </c>
      <c r="N225" s="6"/>
      <c r="O225" s="3">
        <v>207710.7</v>
      </c>
      <c r="P225" s="4">
        <v>8134964</v>
      </c>
      <c r="Q225" s="4">
        <v>8134964</v>
      </c>
      <c r="R225" s="4">
        <v>2111353.7000000002</v>
      </c>
      <c r="S225" s="3" t="s">
        <v>62</v>
      </c>
    </row>
    <row r="226" spans="1:19" ht="15.75" customHeight="1">
      <c r="A226" s="2">
        <v>45562</v>
      </c>
      <c r="B226" s="3">
        <v>2024</v>
      </c>
      <c r="C226" s="3" t="s">
        <v>85</v>
      </c>
      <c r="D226" s="3" t="s">
        <v>73</v>
      </c>
      <c r="E226" s="3" t="s">
        <v>90</v>
      </c>
      <c r="F226" s="3" t="s">
        <v>95</v>
      </c>
      <c r="G226" s="3" t="s">
        <v>178</v>
      </c>
      <c r="H226" s="3" t="s">
        <v>96</v>
      </c>
      <c r="I226" s="3" t="s">
        <v>59</v>
      </c>
      <c r="J226" s="3" t="s">
        <v>83</v>
      </c>
      <c r="K226" s="3" t="s">
        <v>105</v>
      </c>
      <c r="L226" s="3">
        <v>17</v>
      </c>
      <c r="M226" s="4">
        <v>61163</v>
      </c>
      <c r="N226" s="6">
        <v>0.08</v>
      </c>
      <c r="O226" s="3">
        <v>32138.49</v>
      </c>
      <c r="P226" s="4">
        <v>1039771</v>
      </c>
      <c r="Q226" s="4">
        <v>956589.32</v>
      </c>
      <c r="R226" s="4">
        <v>410234.99</v>
      </c>
      <c r="S226" s="3" t="s">
        <v>41</v>
      </c>
    </row>
    <row r="227" spans="1:19" ht="15.75" customHeight="1">
      <c r="A227" s="2">
        <v>45569</v>
      </c>
      <c r="B227" s="3">
        <v>2024</v>
      </c>
      <c r="C227" s="3" t="s">
        <v>88</v>
      </c>
      <c r="D227" s="3" t="s">
        <v>89</v>
      </c>
      <c r="E227" s="3" t="s">
        <v>43</v>
      </c>
      <c r="F227" s="3" t="s">
        <v>65</v>
      </c>
      <c r="G227" s="3" t="s">
        <v>182</v>
      </c>
      <c r="H227" s="3" t="s">
        <v>48</v>
      </c>
      <c r="I227" s="3" t="s">
        <v>49</v>
      </c>
      <c r="J227" s="3" t="s">
        <v>50</v>
      </c>
      <c r="K227" s="3" t="s">
        <v>29</v>
      </c>
      <c r="L227" s="3">
        <v>160</v>
      </c>
      <c r="M227" s="4">
        <v>157024</v>
      </c>
      <c r="N227" s="6">
        <v>0.12</v>
      </c>
      <c r="O227" s="3">
        <v>121462.74</v>
      </c>
      <c r="P227" s="4">
        <v>25123840</v>
      </c>
      <c r="Q227" s="4">
        <v>22108979.199999999</v>
      </c>
      <c r="R227" s="4">
        <v>2674940.7999999998</v>
      </c>
      <c r="S227" s="3" t="s">
        <v>41</v>
      </c>
    </row>
    <row r="228" spans="1:19" ht="15.75" customHeight="1">
      <c r="A228" s="2">
        <v>45616</v>
      </c>
      <c r="B228" s="3">
        <v>2024</v>
      </c>
      <c r="C228" s="3" t="s">
        <v>93</v>
      </c>
      <c r="D228" s="3" t="s">
        <v>89</v>
      </c>
      <c r="E228" s="3" t="s">
        <v>55</v>
      </c>
      <c r="F228" s="3" t="s">
        <v>130</v>
      </c>
      <c r="G228" s="3" t="s">
        <v>142</v>
      </c>
      <c r="H228" s="3" t="s">
        <v>48</v>
      </c>
      <c r="I228" s="3" t="s">
        <v>49</v>
      </c>
      <c r="J228" s="3" t="s">
        <v>50</v>
      </c>
      <c r="K228" s="3" t="s">
        <v>51</v>
      </c>
      <c r="L228" s="3">
        <v>16</v>
      </c>
      <c r="M228" s="4">
        <v>101878</v>
      </c>
      <c r="N228" s="6">
        <v>0.12</v>
      </c>
      <c r="O228" s="3">
        <v>74541.98</v>
      </c>
      <c r="P228" s="4">
        <v>1630048</v>
      </c>
      <c r="Q228" s="4">
        <v>1434442.24</v>
      </c>
      <c r="R228" s="4">
        <v>241770.56</v>
      </c>
      <c r="S228" s="3" t="s">
        <v>41</v>
      </c>
    </row>
    <row r="229" spans="1:19" ht="15.75" customHeight="1">
      <c r="A229" s="2">
        <v>45654</v>
      </c>
      <c r="B229" s="3">
        <v>2024</v>
      </c>
      <c r="C229" s="3" t="s">
        <v>99</v>
      </c>
      <c r="D229" s="3" t="s">
        <v>89</v>
      </c>
      <c r="E229" s="3" t="s">
        <v>55</v>
      </c>
      <c r="F229" s="3" t="s">
        <v>95</v>
      </c>
      <c r="G229" s="3" t="s">
        <v>160</v>
      </c>
      <c r="H229" s="3" t="s">
        <v>108</v>
      </c>
      <c r="I229" s="3" t="s">
        <v>59</v>
      </c>
      <c r="J229" s="3" t="s">
        <v>110</v>
      </c>
      <c r="K229" s="3" t="s">
        <v>29</v>
      </c>
      <c r="L229" s="3">
        <v>14</v>
      </c>
      <c r="M229" s="4">
        <v>88173</v>
      </c>
      <c r="N229" s="6">
        <v>0.1</v>
      </c>
      <c r="O229" s="3">
        <v>69962.399999999994</v>
      </c>
      <c r="P229" s="4">
        <v>1234422</v>
      </c>
      <c r="Q229" s="4">
        <v>1110979.8</v>
      </c>
      <c r="R229" s="4">
        <v>131506.20000000001</v>
      </c>
      <c r="S229" s="3" t="s">
        <v>149</v>
      </c>
    </row>
    <row r="230" spans="1:19" ht="15.75" customHeight="1">
      <c r="A230" s="2">
        <v>45316</v>
      </c>
      <c r="B230" s="3">
        <v>2024</v>
      </c>
      <c r="C230" s="3" t="s">
        <v>21</v>
      </c>
      <c r="D230" s="3" t="s">
        <v>22</v>
      </c>
      <c r="E230" s="3" t="s">
        <v>55</v>
      </c>
      <c r="F230" s="3" t="s">
        <v>130</v>
      </c>
      <c r="G230" s="3" t="s">
        <v>142</v>
      </c>
      <c r="H230" s="3" t="s">
        <v>82</v>
      </c>
      <c r="I230" s="3" t="s">
        <v>38</v>
      </c>
      <c r="J230" s="3" t="s">
        <v>83</v>
      </c>
      <c r="K230" s="3" t="s">
        <v>67</v>
      </c>
      <c r="L230" s="3">
        <v>35</v>
      </c>
      <c r="M230" s="4">
        <v>122726</v>
      </c>
      <c r="N230" s="6">
        <v>0.05</v>
      </c>
      <c r="O230" s="3">
        <v>56312.24</v>
      </c>
      <c r="P230" s="4">
        <v>4295410</v>
      </c>
      <c r="Q230" s="4">
        <v>4080639.5</v>
      </c>
      <c r="R230" s="4">
        <v>2109711.1</v>
      </c>
      <c r="S230" s="3" t="s">
        <v>41</v>
      </c>
    </row>
    <row r="231" spans="1:19" ht="15.75" customHeight="1">
      <c r="A231" s="2">
        <v>45331</v>
      </c>
      <c r="B231" s="3">
        <v>2024</v>
      </c>
      <c r="C231" s="3" t="s">
        <v>33</v>
      </c>
      <c r="D231" s="3" t="s">
        <v>22</v>
      </c>
      <c r="E231" s="3" t="s">
        <v>64</v>
      </c>
      <c r="F231" s="3" t="s">
        <v>45</v>
      </c>
      <c r="G231" s="3" t="s">
        <v>189</v>
      </c>
      <c r="H231" s="3" t="s">
        <v>26</v>
      </c>
      <c r="I231" s="3" t="s">
        <v>27</v>
      </c>
      <c r="J231" s="3" t="s">
        <v>28</v>
      </c>
      <c r="K231" s="3" t="s">
        <v>29</v>
      </c>
      <c r="L231" s="3">
        <v>420</v>
      </c>
      <c r="M231" s="4">
        <v>38864</v>
      </c>
      <c r="N231" s="6">
        <v>0.15</v>
      </c>
      <c r="O231" s="3">
        <v>27587.39</v>
      </c>
      <c r="P231" s="4">
        <v>16322880</v>
      </c>
      <c r="Q231" s="4">
        <v>13874448</v>
      </c>
      <c r="R231" s="4">
        <v>2287744.2000000002</v>
      </c>
      <c r="S231" s="3" t="s">
        <v>52</v>
      </c>
    </row>
    <row r="232" spans="1:19" ht="15.75" customHeight="1">
      <c r="A232" s="2">
        <v>45353</v>
      </c>
      <c r="B232" s="3">
        <v>2024</v>
      </c>
      <c r="C232" s="3" t="s">
        <v>42</v>
      </c>
      <c r="D232" s="3" t="s">
        <v>22</v>
      </c>
      <c r="E232" s="3" t="s">
        <v>34</v>
      </c>
      <c r="F232" s="3" t="s">
        <v>65</v>
      </c>
      <c r="G232" s="3" t="s">
        <v>176</v>
      </c>
      <c r="H232" s="3" t="s">
        <v>26</v>
      </c>
      <c r="I232" s="3" t="s">
        <v>27</v>
      </c>
      <c r="J232" s="3" t="s">
        <v>28</v>
      </c>
      <c r="K232" s="3" t="s">
        <v>51</v>
      </c>
      <c r="L232" s="3">
        <v>36</v>
      </c>
      <c r="M232" s="4">
        <v>65238</v>
      </c>
      <c r="N232" s="6">
        <v>0.12</v>
      </c>
      <c r="O232" s="3">
        <v>48308.36</v>
      </c>
      <c r="P232" s="4">
        <v>2348568</v>
      </c>
      <c r="Q232" s="4">
        <v>2066739.84</v>
      </c>
      <c r="R232" s="4">
        <v>327638.88</v>
      </c>
      <c r="S232" s="3" t="s">
        <v>149</v>
      </c>
    </row>
    <row r="233" spans="1:19" ht="15.75" customHeight="1">
      <c r="A233" s="2">
        <v>45407</v>
      </c>
      <c r="B233" s="3">
        <v>2024</v>
      </c>
      <c r="C233" s="3" t="s">
        <v>53</v>
      </c>
      <c r="D233" s="3" t="s">
        <v>54</v>
      </c>
      <c r="E233" s="3" t="s">
        <v>90</v>
      </c>
      <c r="F233" s="3" t="s">
        <v>35</v>
      </c>
      <c r="G233" s="3" t="s">
        <v>172</v>
      </c>
      <c r="H233" s="3" t="s">
        <v>58</v>
      </c>
      <c r="I233" s="3" t="s">
        <v>47</v>
      </c>
      <c r="J233" s="3" t="s">
        <v>60</v>
      </c>
      <c r="K233" s="3" t="s">
        <v>29</v>
      </c>
      <c r="L233" s="3">
        <v>5</v>
      </c>
      <c r="M233" s="4">
        <v>57559</v>
      </c>
      <c r="N233" s="6">
        <v>0.05</v>
      </c>
      <c r="O233" s="3">
        <v>33500.449999999997</v>
      </c>
      <c r="P233" s="4">
        <v>287795</v>
      </c>
      <c r="Q233" s="4">
        <v>273405.25</v>
      </c>
      <c r="R233" s="4">
        <v>105903</v>
      </c>
      <c r="S233" s="3" t="s">
        <v>70</v>
      </c>
    </row>
    <row r="234" spans="1:19" ht="15.75" customHeight="1">
      <c r="A234" s="2">
        <v>45427</v>
      </c>
      <c r="B234" s="3">
        <v>2024</v>
      </c>
      <c r="C234" s="3" t="s">
        <v>63</v>
      </c>
      <c r="D234" s="3" t="s">
        <v>54</v>
      </c>
      <c r="E234" s="3" t="s">
        <v>90</v>
      </c>
      <c r="F234" s="3" t="s">
        <v>115</v>
      </c>
      <c r="G234" s="3" t="s">
        <v>74</v>
      </c>
      <c r="H234" s="3" t="s">
        <v>120</v>
      </c>
      <c r="I234" s="3" t="s">
        <v>113</v>
      </c>
      <c r="J234" s="3" t="s">
        <v>114</v>
      </c>
      <c r="K234" s="3" t="s">
        <v>84</v>
      </c>
      <c r="L234" s="3">
        <v>39</v>
      </c>
      <c r="M234" s="4">
        <v>175936</v>
      </c>
      <c r="N234" s="6">
        <v>0.2</v>
      </c>
      <c r="O234" s="3">
        <v>109378.15</v>
      </c>
      <c r="P234" s="4">
        <v>6861504</v>
      </c>
      <c r="Q234" s="4">
        <v>5489203.2000000002</v>
      </c>
      <c r="R234" s="4">
        <v>1223455.3500000001</v>
      </c>
      <c r="S234" s="3" t="s">
        <v>52</v>
      </c>
    </row>
    <row r="235" spans="1:19" ht="15.75" customHeight="1">
      <c r="A235" s="2">
        <v>45446</v>
      </c>
      <c r="B235" s="3">
        <v>2024</v>
      </c>
      <c r="C235" s="3" t="s">
        <v>68</v>
      </c>
      <c r="D235" s="3" t="s">
        <v>54</v>
      </c>
      <c r="E235" s="3" t="s">
        <v>43</v>
      </c>
      <c r="F235" s="3" t="s">
        <v>132</v>
      </c>
      <c r="G235" s="3" t="s">
        <v>142</v>
      </c>
      <c r="H235" s="3" t="s">
        <v>108</v>
      </c>
      <c r="I235" s="3" t="s">
        <v>59</v>
      </c>
      <c r="J235" s="3" t="s">
        <v>110</v>
      </c>
      <c r="K235" s="3" t="s">
        <v>51</v>
      </c>
      <c r="L235" s="3">
        <v>35</v>
      </c>
      <c r="M235" s="4">
        <v>103593</v>
      </c>
      <c r="N235" s="6">
        <v>0.15</v>
      </c>
      <c r="O235" s="3">
        <v>70667.73</v>
      </c>
      <c r="P235" s="4">
        <v>3625755</v>
      </c>
      <c r="Q235" s="4">
        <v>3081891.75</v>
      </c>
      <c r="R235" s="4">
        <v>608521.19999999995</v>
      </c>
      <c r="S235" s="3" t="s">
        <v>62</v>
      </c>
    </row>
    <row r="236" spans="1:19" ht="15.75" customHeight="1">
      <c r="A236" s="2">
        <v>45474</v>
      </c>
      <c r="B236" s="3">
        <v>2024</v>
      </c>
      <c r="C236" s="3" t="s">
        <v>72</v>
      </c>
      <c r="D236" s="3" t="s">
        <v>73</v>
      </c>
      <c r="E236" s="3" t="s">
        <v>23</v>
      </c>
      <c r="F236" s="3" t="s">
        <v>24</v>
      </c>
      <c r="G236" s="3" t="s">
        <v>172</v>
      </c>
      <c r="H236" s="3" t="s">
        <v>26</v>
      </c>
      <c r="I236" s="3" t="s">
        <v>122</v>
      </c>
      <c r="J236" s="3" t="s">
        <v>28</v>
      </c>
      <c r="K236" s="3" t="s">
        <v>29</v>
      </c>
      <c r="L236" s="3">
        <v>40</v>
      </c>
      <c r="M236" s="4">
        <v>75917</v>
      </c>
      <c r="N236" s="6"/>
      <c r="O236" s="3">
        <v>44296.08</v>
      </c>
      <c r="P236" s="4">
        <v>3036680</v>
      </c>
      <c r="Q236" s="4">
        <v>3036680</v>
      </c>
      <c r="R236" s="4">
        <v>1264836.8</v>
      </c>
      <c r="S236" s="3" t="s">
        <v>32</v>
      </c>
    </row>
    <row r="237" spans="1:19" ht="15.75" customHeight="1">
      <c r="A237" s="2">
        <v>45530</v>
      </c>
      <c r="B237" s="3">
        <v>2024</v>
      </c>
      <c r="C237" s="3" t="s">
        <v>78</v>
      </c>
      <c r="D237" s="3" t="s">
        <v>73</v>
      </c>
      <c r="E237" s="3" t="s">
        <v>79</v>
      </c>
      <c r="F237" s="3" t="s">
        <v>65</v>
      </c>
      <c r="G237" s="3" t="s">
        <v>146</v>
      </c>
      <c r="H237" s="3" t="s">
        <v>108</v>
      </c>
      <c r="I237" s="3" t="s">
        <v>47</v>
      </c>
      <c r="J237" s="3" t="s">
        <v>110</v>
      </c>
      <c r="K237" s="3" t="s">
        <v>84</v>
      </c>
      <c r="L237" s="3">
        <v>13</v>
      </c>
      <c r="M237" s="4">
        <v>33586</v>
      </c>
      <c r="N237" s="6">
        <v>0.1</v>
      </c>
      <c r="O237" s="3">
        <v>26535.29</v>
      </c>
      <c r="P237" s="4">
        <v>436618</v>
      </c>
      <c r="Q237" s="4">
        <v>392956.2</v>
      </c>
      <c r="R237" s="4">
        <v>47997.43</v>
      </c>
      <c r="S237" s="3" t="s">
        <v>52</v>
      </c>
    </row>
    <row r="238" spans="1:19" ht="15.75" customHeight="1">
      <c r="A238" s="2">
        <v>45549</v>
      </c>
      <c r="B238" s="3">
        <v>2024</v>
      </c>
      <c r="C238" s="3" t="s">
        <v>85</v>
      </c>
      <c r="D238" s="3" t="s">
        <v>73</v>
      </c>
      <c r="E238" s="3" t="s">
        <v>43</v>
      </c>
      <c r="F238" s="3" t="s">
        <v>56</v>
      </c>
      <c r="G238" s="3" t="s">
        <v>92</v>
      </c>
      <c r="H238" s="3" t="s">
        <v>26</v>
      </c>
      <c r="I238" s="3" t="s">
        <v>27</v>
      </c>
      <c r="J238" s="3" t="s">
        <v>28</v>
      </c>
      <c r="K238" s="3" t="s">
        <v>40</v>
      </c>
      <c r="L238" s="3">
        <v>28</v>
      </c>
      <c r="M238" s="4">
        <v>30905</v>
      </c>
      <c r="N238" s="6">
        <v>0.1</v>
      </c>
      <c r="O238" s="3">
        <v>14164.18</v>
      </c>
      <c r="P238" s="4">
        <v>865340</v>
      </c>
      <c r="Q238" s="4">
        <v>778806</v>
      </c>
      <c r="R238" s="4">
        <v>382208.96</v>
      </c>
      <c r="S238" s="3" t="s">
        <v>149</v>
      </c>
    </row>
    <row r="239" spans="1:19" ht="15.75" customHeight="1">
      <c r="A239" s="2">
        <v>45584</v>
      </c>
      <c r="B239" s="3">
        <v>2024</v>
      </c>
      <c r="C239" s="3" t="s">
        <v>88</v>
      </c>
      <c r="D239" s="3" t="s">
        <v>89</v>
      </c>
      <c r="E239" s="3" t="s">
        <v>43</v>
      </c>
      <c r="F239" s="3" t="s">
        <v>35</v>
      </c>
      <c r="H239" s="3" t="s">
        <v>82</v>
      </c>
      <c r="I239" s="3" t="s">
        <v>47</v>
      </c>
      <c r="J239" s="3" t="s">
        <v>83</v>
      </c>
      <c r="K239" s="3" t="s">
        <v>61</v>
      </c>
      <c r="L239" s="3">
        <v>29</v>
      </c>
      <c r="M239" s="4">
        <v>125514</v>
      </c>
      <c r="N239" s="6">
        <v>0.08</v>
      </c>
      <c r="O239" s="3">
        <v>86059.25</v>
      </c>
      <c r="P239" s="4">
        <v>3639906</v>
      </c>
      <c r="Q239" s="4">
        <v>3348713.52</v>
      </c>
      <c r="R239" s="4">
        <v>852995.27</v>
      </c>
      <c r="S239" s="3" t="s">
        <v>52</v>
      </c>
    </row>
    <row r="240" spans="1:19" ht="15.75" customHeight="1">
      <c r="A240" s="2">
        <v>45624</v>
      </c>
      <c r="B240" s="3">
        <v>2024</v>
      </c>
      <c r="C240" s="3" t="s">
        <v>93</v>
      </c>
      <c r="D240" s="3" t="s">
        <v>89</v>
      </c>
      <c r="E240" s="3" t="s">
        <v>23</v>
      </c>
      <c r="F240" s="3" t="s">
        <v>86</v>
      </c>
      <c r="H240" s="3" t="s">
        <v>37</v>
      </c>
      <c r="I240" s="3" t="s">
        <v>59</v>
      </c>
      <c r="J240" s="3" t="s">
        <v>39</v>
      </c>
      <c r="K240" s="3" t="s">
        <v>40</v>
      </c>
      <c r="L240" s="3">
        <v>20</v>
      </c>
      <c r="M240" s="4">
        <v>85798</v>
      </c>
      <c r="N240" s="6">
        <v>0.12</v>
      </c>
      <c r="O240" s="3">
        <v>50062.68</v>
      </c>
      <c r="P240" s="4">
        <v>1715960</v>
      </c>
      <c r="Q240" s="4">
        <v>1510044.8</v>
      </c>
      <c r="R240" s="4">
        <v>508791.2</v>
      </c>
      <c r="S240" s="3" t="s">
        <v>149</v>
      </c>
    </row>
    <row r="241" spans="1:19" ht="15.75" customHeight="1">
      <c r="A241" s="2">
        <v>45647</v>
      </c>
      <c r="B241" s="3">
        <v>2024</v>
      </c>
      <c r="C241" s="3" t="s">
        <v>99</v>
      </c>
      <c r="D241" s="3" t="s">
        <v>89</v>
      </c>
      <c r="E241" s="3" t="s">
        <v>64</v>
      </c>
      <c r="F241" s="3" t="s">
        <v>80</v>
      </c>
      <c r="G241" s="3" t="s">
        <v>106</v>
      </c>
      <c r="H241" s="3" t="s">
        <v>112</v>
      </c>
      <c r="I241" s="3" t="s">
        <v>122</v>
      </c>
      <c r="J241" s="3" t="s">
        <v>114</v>
      </c>
      <c r="K241" s="3" t="s">
        <v>51</v>
      </c>
      <c r="L241" s="3">
        <v>36</v>
      </c>
      <c r="M241" s="4">
        <v>91800</v>
      </c>
      <c r="N241" s="6">
        <v>0.08</v>
      </c>
      <c r="O241" s="3">
        <v>58568.7</v>
      </c>
      <c r="P241" s="4">
        <v>3304800</v>
      </c>
      <c r="Q241" s="4">
        <v>3040416</v>
      </c>
      <c r="R241" s="4">
        <v>931942.8</v>
      </c>
      <c r="S241" s="3" t="s">
        <v>32</v>
      </c>
    </row>
    <row r="242" spans="1:19" ht="15.75" customHeight="1">
      <c r="A242" s="2">
        <v>45319</v>
      </c>
      <c r="B242" s="3">
        <v>2024</v>
      </c>
      <c r="C242" s="3" t="s">
        <v>21</v>
      </c>
      <c r="D242" s="3" t="s">
        <v>22</v>
      </c>
      <c r="E242" s="3" t="s">
        <v>79</v>
      </c>
      <c r="F242" s="3" t="s">
        <v>115</v>
      </c>
      <c r="G242" s="3" t="s">
        <v>190</v>
      </c>
      <c r="H242" s="3" t="s">
        <v>26</v>
      </c>
      <c r="I242" s="3" t="s">
        <v>113</v>
      </c>
      <c r="J242" s="3" t="s">
        <v>28</v>
      </c>
      <c r="K242" s="3" t="s">
        <v>29</v>
      </c>
      <c r="L242" s="3">
        <v>40</v>
      </c>
      <c r="M242" s="4">
        <v>62941</v>
      </c>
      <c r="N242" s="6">
        <v>0</v>
      </c>
      <c r="O242" s="3">
        <v>47078.97</v>
      </c>
      <c r="P242" s="4">
        <v>2517640</v>
      </c>
      <c r="Q242" s="4">
        <v>2517640</v>
      </c>
      <c r="R242" s="4">
        <v>634481.19999999995</v>
      </c>
      <c r="S242" s="3" t="s">
        <v>52</v>
      </c>
    </row>
    <row r="243" spans="1:19" ht="15.75" customHeight="1">
      <c r="A243" s="2">
        <v>45346</v>
      </c>
      <c r="B243" s="3">
        <v>2024</v>
      </c>
      <c r="C243" s="3" t="s">
        <v>33</v>
      </c>
      <c r="D243" s="3" t="s">
        <v>22</v>
      </c>
      <c r="E243" s="3" t="s">
        <v>79</v>
      </c>
      <c r="F243" s="3" t="s">
        <v>65</v>
      </c>
      <c r="G243" s="3" t="s">
        <v>127</v>
      </c>
      <c r="H243" s="3" t="s">
        <v>58</v>
      </c>
      <c r="I243" s="3" t="s">
        <v>59</v>
      </c>
      <c r="J243" s="3" t="s">
        <v>60</v>
      </c>
      <c r="K243" s="3" t="s">
        <v>29</v>
      </c>
      <c r="L243" s="3">
        <v>16</v>
      </c>
      <c r="M243" s="4">
        <v>174402</v>
      </c>
      <c r="N243" s="6">
        <v>0.15</v>
      </c>
      <c r="O243" s="3">
        <v>97878.78</v>
      </c>
      <c r="P243" s="4">
        <v>2790432</v>
      </c>
      <c r="Q243" s="4">
        <v>2371867.2000000002</v>
      </c>
      <c r="R243" s="4">
        <v>805806.72</v>
      </c>
      <c r="S243" s="3" t="s">
        <v>70</v>
      </c>
    </row>
    <row r="244" spans="1:19" ht="15.75" customHeight="1">
      <c r="A244" s="2">
        <v>45377</v>
      </c>
      <c r="B244" s="3">
        <v>2024</v>
      </c>
      <c r="C244" s="3" t="s">
        <v>42</v>
      </c>
      <c r="D244" s="3" t="s">
        <v>22</v>
      </c>
      <c r="E244" s="3" t="s">
        <v>55</v>
      </c>
      <c r="F244" s="3" t="s">
        <v>91</v>
      </c>
      <c r="G244" s="3" t="s">
        <v>186</v>
      </c>
      <c r="H244" s="3" t="s">
        <v>120</v>
      </c>
      <c r="I244" s="3" t="s">
        <v>122</v>
      </c>
      <c r="J244" s="3" t="s">
        <v>114</v>
      </c>
      <c r="K244" s="3" t="s">
        <v>84</v>
      </c>
      <c r="L244" s="3">
        <v>16</v>
      </c>
      <c r="M244" s="4">
        <v>179991</v>
      </c>
      <c r="N244" s="6"/>
      <c r="O244" s="3">
        <v>89456.79</v>
      </c>
      <c r="P244" s="4">
        <v>2879856</v>
      </c>
      <c r="Q244" s="4">
        <v>2879856</v>
      </c>
      <c r="R244" s="4">
        <v>1448547.36</v>
      </c>
      <c r="S244" s="3" t="s">
        <v>149</v>
      </c>
    </row>
    <row r="245" spans="1:19" ht="15.75" customHeight="1">
      <c r="A245" s="2">
        <v>45386</v>
      </c>
      <c r="B245" s="3">
        <v>2024</v>
      </c>
      <c r="C245" s="3" t="s">
        <v>53</v>
      </c>
      <c r="D245" s="3" t="s">
        <v>54</v>
      </c>
      <c r="E245" s="3" t="s">
        <v>64</v>
      </c>
      <c r="F245" s="3" t="s">
        <v>95</v>
      </c>
      <c r="G245" s="3" t="s">
        <v>152</v>
      </c>
      <c r="H245" s="3" t="s">
        <v>108</v>
      </c>
      <c r="I245" s="3" t="s">
        <v>47</v>
      </c>
      <c r="J245" s="3" t="s">
        <v>110</v>
      </c>
      <c r="K245" s="3" t="s">
        <v>40</v>
      </c>
      <c r="L245" s="3">
        <v>18</v>
      </c>
      <c r="M245" s="4">
        <v>48700</v>
      </c>
      <c r="N245" s="6">
        <v>0.15</v>
      </c>
      <c r="O245" s="3">
        <v>26401.83</v>
      </c>
      <c r="P245" s="4">
        <v>876600</v>
      </c>
      <c r="Q245" s="4"/>
      <c r="R245" s="4">
        <v>269877.06</v>
      </c>
      <c r="S245" s="3" t="s">
        <v>149</v>
      </c>
    </row>
    <row r="246" spans="1:19" ht="15.75" customHeight="1">
      <c r="A246" s="2">
        <v>45431</v>
      </c>
      <c r="B246" s="3">
        <v>2024</v>
      </c>
      <c r="C246" s="3" t="s">
        <v>63</v>
      </c>
      <c r="D246" s="3" t="s">
        <v>54</v>
      </c>
      <c r="E246" s="3" t="s">
        <v>34</v>
      </c>
      <c r="F246" s="3" t="s">
        <v>132</v>
      </c>
      <c r="G246" s="3" t="s">
        <v>171</v>
      </c>
      <c r="H246" s="3" t="s">
        <v>48</v>
      </c>
      <c r="I246" s="3" t="s">
        <v>49</v>
      </c>
      <c r="J246" s="3" t="s">
        <v>50</v>
      </c>
      <c r="K246" s="3" t="s">
        <v>51</v>
      </c>
      <c r="L246" s="3">
        <v>17</v>
      </c>
      <c r="M246" s="4">
        <v>153473</v>
      </c>
      <c r="N246" s="6">
        <v>0.1</v>
      </c>
      <c r="O246" s="3">
        <v>88713</v>
      </c>
      <c r="P246" s="4">
        <v>2609041</v>
      </c>
      <c r="Q246" s="4">
        <v>2348136.9</v>
      </c>
      <c r="R246" s="4">
        <v>840015.9</v>
      </c>
      <c r="S246" s="3" t="s">
        <v>41</v>
      </c>
    </row>
    <row r="247" spans="1:19" ht="15.75" customHeight="1">
      <c r="A247" s="2">
        <v>45446</v>
      </c>
      <c r="B247" s="3">
        <v>2024</v>
      </c>
      <c r="C247" s="3" t="s">
        <v>68</v>
      </c>
      <c r="D247" s="3" t="s">
        <v>54</v>
      </c>
      <c r="E247" s="3" t="s">
        <v>34</v>
      </c>
      <c r="F247" s="3" t="s">
        <v>86</v>
      </c>
      <c r="G247" s="3" t="s">
        <v>155</v>
      </c>
      <c r="H247" s="3" t="s">
        <v>108</v>
      </c>
      <c r="I247" s="3" t="s">
        <v>38</v>
      </c>
      <c r="J247" s="3" t="s">
        <v>110</v>
      </c>
      <c r="K247" s="3" t="s">
        <v>40</v>
      </c>
      <c r="L247" s="3">
        <v>40</v>
      </c>
      <c r="M247" s="4">
        <v>146777</v>
      </c>
      <c r="N247" s="6">
        <v>0.1</v>
      </c>
      <c r="O247" s="3">
        <v>75252.69</v>
      </c>
      <c r="P247" s="4">
        <v>5871080</v>
      </c>
      <c r="Q247" s="4">
        <v>5283972</v>
      </c>
      <c r="R247" s="4">
        <v>2273864.4</v>
      </c>
      <c r="S247" s="3" t="s">
        <v>52</v>
      </c>
    </row>
    <row r="248" spans="1:19" ht="15.75" customHeight="1">
      <c r="A248" s="2">
        <v>45481</v>
      </c>
      <c r="B248" s="3">
        <v>2024</v>
      </c>
      <c r="C248" s="3" t="s">
        <v>72</v>
      </c>
      <c r="D248" s="3" t="s">
        <v>73</v>
      </c>
      <c r="E248" s="3" t="s">
        <v>43</v>
      </c>
      <c r="F248" s="3" t="s">
        <v>91</v>
      </c>
      <c r="G248" s="3" t="s">
        <v>116</v>
      </c>
      <c r="H248" s="3" t="s">
        <v>44</v>
      </c>
      <c r="I248" s="3" t="s">
        <v>59</v>
      </c>
      <c r="J248" s="3" t="s">
        <v>153</v>
      </c>
      <c r="K248" s="3" t="s">
        <v>84</v>
      </c>
      <c r="L248" s="3">
        <v>24</v>
      </c>
      <c r="M248" s="4">
        <v>66204</v>
      </c>
      <c r="N248" s="6"/>
      <c r="O248" s="3">
        <v>38784.46</v>
      </c>
      <c r="P248" s="4">
        <v>1588896</v>
      </c>
      <c r="Q248" s="4">
        <v>1588896</v>
      </c>
      <c r="R248" s="4">
        <v>658068.96</v>
      </c>
      <c r="S248" s="3" t="s">
        <v>70</v>
      </c>
    </row>
    <row r="249" spans="1:19" ht="15.75" customHeight="1">
      <c r="A249" s="2">
        <v>45531</v>
      </c>
      <c r="B249" s="3">
        <v>2024</v>
      </c>
      <c r="C249" s="3" t="s">
        <v>78</v>
      </c>
      <c r="D249" s="3" t="s">
        <v>73</v>
      </c>
      <c r="E249" s="3" t="s">
        <v>55</v>
      </c>
      <c r="F249" s="3" t="s">
        <v>24</v>
      </c>
      <c r="G249" s="3" t="s">
        <v>87</v>
      </c>
      <c r="H249" s="3" t="s">
        <v>26</v>
      </c>
      <c r="I249" s="3" t="s">
        <v>122</v>
      </c>
      <c r="J249" s="3" t="s">
        <v>28</v>
      </c>
      <c r="K249" s="3" t="s">
        <v>51</v>
      </c>
      <c r="L249" s="3">
        <v>12</v>
      </c>
      <c r="M249" s="4">
        <v>111226</v>
      </c>
      <c r="N249" s="6">
        <v>0.05</v>
      </c>
      <c r="O249" s="3">
        <v>70164.92</v>
      </c>
      <c r="P249" s="4">
        <v>1334712</v>
      </c>
      <c r="Q249" s="4">
        <v>1267976.3999999999</v>
      </c>
      <c r="R249" s="4">
        <v>425997.36</v>
      </c>
      <c r="S249" s="3" t="s">
        <v>70</v>
      </c>
    </row>
    <row r="250" spans="1:19" ht="15.75" customHeight="1">
      <c r="A250" s="2">
        <v>45561</v>
      </c>
      <c r="B250" s="3">
        <v>2024</v>
      </c>
      <c r="C250" s="3" t="s">
        <v>85</v>
      </c>
      <c r="D250" s="3" t="s">
        <v>73</v>
      </c>
      <c r="E250" s="3" t="s">
        <v>34</v>
      </c>
      <c r="F250" s="3" t="s">
        <v>132</v>
      </c>
      <c r="G250" s="3" t="s">
        <v>182</v>
      </c>
      <c r="H250" s="3" t="s">
        <v>75</v>
      </c>
      <c r="I250" s="3" t="s">
        <v>38</v>
      </c>
      <c r="J250" s="3" t="s">
        <v>76</v>
      </c>
      <c r="K250" s="3" t="s">
        <v>29</v>
      </c>
      <c r="L250" s="3">
        <v>29</v>
      </c>
      <c r="M250" s="4">
        <v>32208</v>
      </c>
      <c r="N250" s="6">
        <v>0.2</v>
      </c>
      <c r="O250" s="3">
        <v>16877.990000000002</v>
      </c>
      <c r="P250" s="4">
        <v>934032</v>
      </c>
      <c r="Q250" s="4">
        <v>747225.59999999998</v>
      </c>
      <c r="R250" s="4">
        <v>257763.89</v>
      </c>
      <c r="S250" s="3" t="s">
        <v>41</v>
      </c>
    </row>
    <row r="251" spans="1:19" ht="15.75" customHeight="1">
      <c r="A251" s="2">
        <v>45589</v>
      </c>
      <c r="B251" s="3">
        <v>2024</v>
      </c>
      <c r="C251" s="3" t="s">
        <v>88</v>
      </c>
      <c r="D251" s="3" t="s">
        <v>89</v>
      </c>
      <c r="E251" s="3" t="s">
        <v>23</v>
      </c>
      <c r="F251" s="3" t="s">
        <v>65</v>
      </c>
      <c r="G251" s="3" t="s">
        <v>156</v>
      </c>
      <c r="H251" s="3" t="s">
        <v>120</v>
      </c>
      <c r="I251" s="3" t="s">
        <v>113</v>
      </c>
      <c r="J251" s="3" t="s">
        <v>114</v>
      </c>
      <c r="K251" s="3" t="s">
        <v>29</v>
      </c>
      <c r="L251" s="3">
        <v>38</v>
      </c>
      <c r="M251" s="4">
        <v>478856</v>
      </c>
      <c r="N251" s="6">
        <v>0</v>
      </c>
      <c r="O251" s="3">
        <v>236918.69</v>
      </c>
      <c r="P251" s="4">
        <v>18196528</v>
      </c>
      <c r="Q251" s="4">
        <v>18196528</v>
      </c>
      <c r="R251" s="4">
        <v>9193617.7799999993</v>
      </c>
      <c r="S251" s="3" t="s">
        <v>52</v>
      </c>
    </row>
    <row r="252" spans="1:19" ht="15.75" customHeight="1">
      <c r="A252" s="2">
        <v>45605</v>
      </c>
      <c r="B252" s="3">
        <v>2024</v>
      </c>
      <c r="C252" s="3" t="s">
        <v>93</v>
      </c>
      <c r="D252" s="3" t="s">
        <v>89</v>
      </c>
      <c r="E252" s="3" t="s">
        <v>64</v>
      </c>
      <c r="F252" s="3" t="s">
        <v>130</v>
      </c>
      <c r="G252" s="3" t="s">
        <v>191</v>
      </c>
      <c r="H252" s="3" t="s">
        <v>96</v>
      </c>
      <c r="I252" s="3" t="s">
        <v>47</v>
      </c>
      <c r="J252" s="3" t="s">
        <v>83</v>
      </c>
      <c r="K252" s="3" t="s">
        <v>67</v>
      </c>
      <c r="L252" s="3">
        <v>19</v>
      </c>
      <c r="M252" s="4">
        <v>68778</v>
      </c>
      <c r="N252" s="6">
        <v>0.12</v>
      </c>
      <c r="O252" s="3">
        <v>51828.06</v>
      </c>
      <c r="P252" s="4">
        <v>1306782</v>
      </c>
      <c r="Q252" s="4">
        <v>1149968.1599999999</v>
      </c>
      <c r="R252" s="4">
        <v>165235.01999999999</v>
      </c>
      <c r="S252" s="3" t="s">
        <v>41</v>
      </c>
    </row>
    <row r="253" spans="1:19" ht="15.75" customHeight="1">
      <c r="A253" s="2">
        <v>45648</v>
      </c>
      <c r="B253" s="3">
        <v>2024</v>
      </c>
      <c r="C253" s="3" t="s">
        <v>99</v>
      </c>
      <c r="D253" s="3" t="s">
        <v>89</v>
      </c>
      <c r="E253" s="3" t="s">
        <v>79</v>
      </c>
      <c r="F253" s="3" t="s">
        <v>86</v>
      </c>
      <c r="G253" s="3" t="s">
        <v>150</v>
      </c>
      <c r="H253" s="3" t="s">
        <v>48</v>
      </c>
      <c r="I253" s="3" t="s">
        <v>49</v>
      </c>
      <c r="J253" s="3" t="s">
        <v>50</v>
      </c>
      <c r="K253" s="3" t="s">
        <v>61</v>
      </c>
      <c r="L253" s="3">
        <v>39</v>
      </c>
      <c r="M253" s="4">
        <v>72244</v>
      </c>
      <c r="N253" s="6">
        <v>0.1</v>
      </c>
      <c r="O253" s="3">
        <v>35255.040000000001</v>
      </c>
      <c r="P253" s="4">
        <v>2817516</v>
      </c>
      <c r="Q253" s="4">
        <v>2535764.4</v>
      </c>
      <c r="R253" s="4">
        <v>1160817.8400000001</v>
      </c>
      <c r="S253" s="3" t="s">
        <v>41</v>
      </c>
    </row>
    <row r="254" spans="1:19" ht="15.75" customHeight="1">
      <c r="A254" s="2">
        <v>45297</v>
      </c>
      <c r="B254" s="3">
        <v>2024</v>
      </c>
      <c r="C254" s="3" t="s">
        <v>21</v>
      </c>
      <c r="D254" s="3" t="s">
        <v>22</v>
      </c>
      <c r="E254" s="3" t="s">
        <v>34</v>
      </c>
      <c r="F254" s="3" t="s">
        <v>132</v>
      </c>
      <c r="G254" s="3" t="s">
        <v>92</v>
      </c>
      <c r="H254" s="3" t="s">
        <v>82</v>
      </c>
      <c r="I254" s="3" t="s">
        <v>59</v>
      </c>
      <c r="J254" s="3" t="s">
        <v>83</v>
      </c>
      <c r="K254" s="3" t="s">
        <v>51</v>
      </c>
      <c r="L254" s="3">
        <v>8</v>
      </c>
      <c r="M254" s="4">
        <v>46164</v>
      </c>
      <c r="N254" s="6">
        <v>0</v>
      </c>
      <c r="O254" s="3">
        <v>35266.49</v>
      </c>
      <c r="P254" s="4">
        <v>369312</v>
      </c>
      <c r="Q254" s="4">
        <v>369312</v>
      </c>
      <c r="R254" s="4">
        <v>87180.08</v>
      </c>
      <c r="S254" s="3" t="s">
        <v>149</v>
      </c>
    </row>
    <row r="255" spans="1:19" ht="15.75" customHeight="1">
      <c r="A255" s="2">
        <v>45330</v>
      </c>
      <c r="B255" s="3">
        <v>2024</v>
      </c>
      <c r="C255" s="3" t="s">
        <v>33</v>
      </c>
      <c r="D255" s="3" t="s">
        <v>22</v>
      </c>
      <c r="E255" s="3" t="s">
        <v>43</v>
      </c>
      <c r="F255" s="3" t="s">
        <v>65</v>
      </c>
      <c r="G255" s="3" t="s">
        <v>175</v>
      </c>
      <c r="H255" s="3" t="s">
        <v>102</v>
      </c>
      <c r="I255" s="3" t="s">
        <v>49</v>
      </c>
      <c r="J255" s="3" t="s">
        <v>104</v>
      </c>
      <c r="K255" s="3" t="s">
        <v>51</v>
      </c>
      <c r="L255" s="3">
        <v>37</v>
      </c>
      <c r="M255" s="4">
        <v>47096</v>
      </c>
      <c r="N255" s="6">
        <v>0.15</v>
      </c>
      <c r="O255" s="3">
        <v>36194.68</v>
      </c>
      <c r="P255" s="4">
        <v>1742552</v>
      </c>
      <c r="Q255" s="4">
        <v>1481169.2</v>
      </c>
      <c r="R255" s="4">
        <v>141966.04</v>
      </c>
      <c r="S255" s="3" t="s">
        <v>32</v>
      </c>
    </row>
    <row r="256" spans="1:19" ht="15.75" customHeight="1">
      <c r="A256" s="2">
        <v>45377</v>
      </c>
      <c r="B256" s="3">
        <v>2024</v>
      </c>
      <c r="C256" s="3" t="s">
        <v>42</v>
      </c>
      <c r="D256" s="3" t="s">
        <v>22</v>
      </c>
      <c r="E256" s="3" t="s">
        <v>23</v>
      </c>
      <c r="F256" s="3" t="s">
        <v>132</v>
      </c>
      <c r="G256" s="3" t="s">
        <v>148</v>
      </c>
      <c r="H256" s="3" t="s">
        <v>37</v>
      </c>
      <c r="I256" s="3" t="s">
        <v>59</v>
      </c>
      <c r="J256" s="3" t="s">
        <v>39</v>
      </c>
      <c r="K256" s="3" t="s">
        <v>105</v>
      </c>
      <c r="L256" s="3">
        <v>25</v>
      </c>
      <c r="M256" s="4">
        <v>94811</v>
      </c>
      <c r="N256" s="6">
        <v>0.05</v>
      </c>
      <c r="O256" s="3">
        <v>47801.1</v>
      </c>
      <c r="P256" s="4">
        <v>2370275</v>
      </c>
      <c r="Q256" s="4">
        <v>2251761.25</v>
      </c>
      <c r="R256" s="4">
        <v>1056733.75</v>
      </c>
      <c r="S256" s="3" t="s">
        <v>149</v>
      </c>
    </row>
    <row r="257" spans="1:19" ht="15.75" customHeight="1">
      <c r="A257" s="2">
        <v>45404</v>
      </c>
      <c r="B257" s="3">
        <v>2024</v>
      </c>
      <c r="C257" s="3" t="s">
        <v>53</v>
      </c>
      <c r="D257" s="3" t="s">
        <v>54</v>
      </c>
      <c r="E257" s="3" t="s">
        <v>34</v>
      </c>
      <c r="F257" s="3" t="s">
        <v>35</v>
      </c>
      <c r="G257" s="3" t="s">
        <v>156</v>
      </c>
      <c r="H257" s="3" t="s">
        <v>112</v>
      </c>
      <c r="I257" s="3" t="s">
        <v>113</v>
      </c>
      <c r="J257" s="3" t="s">
        <v>114</v>
      </c>
      <c r="K257" s="3" t="s">
        <v>29</v>
      </c>
      <c r="L257" s="3">
        <v>24</v>
      </c>
      <c r="M257" s="4">
        <v>138814</v>
      </c>
      <c r="N257" s="6">
        <v>0.2</v>
      </c>
      <c r="O257" s="3">
        <v>90531.42</v>
      </c>
      <c r="P257" s="4">
        <v>3331536</v>
      </c>
      <c r="Q257" s="4">
        <v>2665228.7999999998</v>
      </c>
      <c r="R257" s="4">
        <v>492474.72</v>
      </c>
      <c r="S257" s="3" t="s">
        <v>149</v>
      </c>
    </row>
    <row r="258" spans="1:19" ht="15.75" customHeight="1">
      <c r="A258" s="2">
        <v>45438</v>
      </c>
      <c r="B258" s="3">
        <v>2024</v>
      </c>
      <c r="C258" s="3" t="s">
        <v>63</v>
      </c>
      <c r="D258" s="3" t="s">
        <v>54</v>
      </c>
      <c r="E258" s="3" t="s">
        <v>90</v>
      </c>
      <c r="F258" s="3" t="s">
        <v>115</v>
      </c>
      <c r="H258" s="3" t="s">
        <v>75</v>
      </c>
      <c r="I258" s="3" t="s">
        <v>38</v>
      </c>
      <c r="J258" s="3" t="s">
        <v>76</v>
      </c>
      <c r="K258" s="3" t="s">
        <v>51</v>
      </c>
      <c r="L258" s="3">
        <v>26</v>
      </c>
      <c r="M258" s="4">
        <v>156330</v>
      </c>
      <c r="N258" s="6">
        <v>0</v>
      </c>
      <c r="O258" s="3">
        <v>79143.360000000001</v>
      </c>
      <c r="P258" s="4">
        <v>4064580</v>
      </c>
      <c r="Q258" s="4">
        <v>4064580</v>
      </c>
      <c r="R258" s="4">
        <v>2006852.64</v>
      </c>
      <c r="S258" s="3" t="s">
        <v>149</v>
      </c>
    </row>
    <row r="259" spans="1:19" ht="15.75" customHeight="1">
      <c r="A259" s="2">
        <v>45446</v>
      </c>
      <c r="B259" s="3">
        <v>2024</v>
      </c>
      <c r="C259" s="3" t="s">
        <v>68</v>
      </c>
      <c r="D259" s="3" t="s">
        <v>54</v>
      </c>
      <c r="E259" s="3" t="s">
        <v>55</v>
      </c>
      <c r="F259" s="3" t="s">
        <v>35</v>
      </c>
      <c r="G259" s="3" t="s">
        <v>152</v>
      </c>
      <c r="H259" s="3" t="s">
        <v>82</v>
      </c>
      <c r="I259" s="3" t="s">
        <v>47</v>
      </c>
      <c r="J259" s="3" t="s">
        <v>83</v>
      </c>
      <c r="K259" s="3" t="s">
        <v>51</v>
      </c>
      <c r="L259" s="3">
        <v>3</v>
      </c>
      <c r="M259" s="4">
        <v>117026</v>
      </c>
      <c r="N259" s="6">
        <v>0.2</v>
      </c>
      <c r="O259" s="3">
        <v>81808.429999999993</v>
      </c>
      <c r="P259" s="4">
        <v>351078</v>
      </c>
      <c r="Q259" s="4">
        <v>280862.40000000002</v>
      </c>
      <c r="R259" s="4">
        <v>35437.11</v>
      </c>
      <c r="S259" s="3" t="s">
        <v>52</v>
      </c>
    </row>
    <row r="260" spans="1:19" ht="15.75" customHeight="1">
      <c r="A260" s="2">
        <v>45501</v>
      </c>
      <c r="B260" s="3">
        <v>2024</v>
      </c>
      <c r="C260" s="3" t="s">
        <v>72</v>
      </c>
      <c r="D260" s="3" t="s">
        <v>73</v>
      </c>
      <c r="E260" s="3" t="s">
        <v>90</v>
      </c>
      <c r="F260" s="3" t="s">
        <v>130</v>
      </c>
      <c r="H260" s="3" t="s">
        <v>58</v>
      </c>
      <c r="I260" s="3" t="s">
        <v>38</v>
      </c>
      <c r="J260" s="3" t="s">
        <v>60</v>
      </c>
      <c r="K260" s="3" t="s">
        <v>105</v>
      </c>
      <c r="L260" s="3">
        <v>39</v>
      </c>
      <c r="M260" s="4">
        <v>72731</v>
      </c>
      <c r="N260" s="6">
        <v>0</v>
      </c>
      <c r="O260" s="3">
        <v>41886.44</v>
      </c>
      <c r="P260" s="4">
        <v>2836509</v>
      </c>
      <c r="Q260" s="4">
        <v>2836509</v>
      </c>
      <c r="R260" s="4">
        <v>1202937.8400000001</v>
      </c>
      <c r="S260" s="3" t="s">
        <v>149</v>
      </c>
    </row>
    <row r="261" spans="1:19" ht="15.75" customHeight="1">
      <c r="A261" s="2">
        <v>45517</v>
      </c>
      <c r="B261" s="3">
        <v>2024</v>
      </c>
      <c r="C261" s="3" t="s">
        <v>78</v>
      </c>
      <c r="D261" s="3" t="s">
        <v>73</v>
      </c>
      <c r="E261" s="3" t="s">
        <v>34</v>
      </c>
      <c r="F261" s="3" t="s">
        <v>132</v>
      </c>
      <c r="G261" s="3" t="s">
        <v>148</v>
      </c>
      <c r="H261" s="3" t="s">
        <v>26</v>
      </c>
      <c r="I261" s="3" t="s">
        <v>113</v>
      </c>
      <c r="J261" s="3" t="s">
        <v>28</v>
      </c>
      <c r="K261" s="3" t="s">
        <v>105</v>
      </c>
      <c r="L261" s="3">
        <v>5</v>
      </c>
      <c r="M261" s="4">
        <v>156072</v>
      </c>
      <c r="N261" s="6"/>
      <c r="O261" s="3">
        <v>89213.3</v>
      </c>
      <c r="P261" s="4">
        <v>780360</v>
      </c>
      <c r="Q261" s="4">
        <v>780360</v>
      </c>
      <c r="R261" s="4">
        <v>334293.5</v>
      </c>
      <c r="S261" s="3" t="s">
        <v>62</v>
      </c>
    </row>
    <row r="262" spans="1:19" ht="15.75" customHeight="1">
      <c r="A262" s="2">
        <v>45541</v>
      </c>
      <c r="B262" s="3">
        <v>2024</v>
      </c>
      <c r="C262" s="3" t="s">
        <v>85</v>
      </c>
      <c r="D262" s="3" t="s">
        <v>73</v>
      </c>
      <c r="E262" s="3" t="s">
        <v>34</v>
      </c>
      <c r="F262" s="3" t="s">
        <v>132</v>
      </c>
      <c r="G262" s="3" t="s">
        <v>139</v>
      </c>
      <c r="H262" s="3" t="s">
        <v>112</v>
      </c>
      <c r="I262" s="3" t="s">
        <v>113</v>
      </c>
      <c r="J262" s="3" t="s">
        <v>114</v>
      </c>
      <c r="K262" s="3" t="s">
        <v>51</v>
      </c>
      <c r="L262" s="3">
        <v>19</v>
      </c>
      <c r="M262" s="4">
        <v>42673</v>
      </c>
      <c r="N262" s="6">
        <v>0.2</v>
      </c>
      <c r="O262" s="3">
        <v>32288.080000000002</v>
      </c>
      <c r="P262" s="4">
        <v>810787</v>
      </c>
      <c r="Q262" s="4">
        <v>648629.6</v>
      </c>
      <c r="R262" s="4">
        <v>35156.080000000002</v>
      </c>
      <c r="S262" s="3" t="s">
        <v>52</v>
      </c>
    </row>
    <row r="263" spans="1:19" ht="15.75" customHeight="1">
      <c r="A263" s="2">
        <v>45590</v>
      </c>
      <c r="B263" s="3">
        <v>2024</v>
      </c>
      <c r="C263" s="3" t="s">
        <v>88</v>
      </c>
      <c r="D263" s="3" t="s">
        <v>89</v>
      </c>
      <c r="E263" s="3" t="s">
        <v>34</v>
      </c>
      <c r="F263" s="3" t="s">
        <v>24</v>
      </c>
      <c r="G263" s="3" t="s">
        <v>181</v>
      </c>
      <c r="H263" s="3" t="s">
        <v>120</v>
      </c>
      <c r="I263" s="3" t="s">
        <v>27</v>
      </c>
      <c r="J263" s="3" t="s">
        <v>114</v>
      </c>
      <c r="K263" s="3" t="s">
        <v>61</v>
      </c>
      <c r="L263" s="3">
        <v>8</v>
      </c>
      <c r="M263" s="4">
        <v>112315</v>
      </c>
      <c r="N263" s="6">
        <v>0.15</v>
      </c>
      <c r="O263" s="3">
        <v>77151.37</v>
      </c>
      <c r="P263" s="4">
        <v>898520</v>
      </c>
      <c r="Q263" s="4">
        <v>763742</v>
      </c>
      <c r="R263" s="4">
        <v>146531.04</v>
      </c>
      <c r="S263" s="3" t="s">
        <v>41</v>
      </c>
    </row>
    <row r="264" spans="1:19" ht="15.75" customHeight="1">
      <c r="A264" s="2">
        <v>45604</v>
      </c>
      <c r="B264" s="3">
        <v>2024</v>
      </c>
      <c r="C264" s="3" t="s">
        <v>93</v>
      </c>
      <c r="D264" s="3" t="s">
        <v>89</v>
      </c>
      <c r="E264" s="3" t="s">
        <v>55</v>
      </c>
      <c r="F264" s="3" t="s">
        <v>165</v>
      </c>
      <c r="G264" s="3" t="s">
        <v>150</v>
      </c>
      <c r="H264" s="3" t="s">
        <v>112</v>
      </c>
      <c r="I264" s="3" t="s">
        <v>27</v>
      </c>
      <c r="J264" s="3" t="s">
        <v>114</v>
      </c>
      <c r="K264" s="3" t="s">
        <v>105</v>
      </c>
      <c r="L264" s="3">
        <v>36</v>
      </c>
      <c r="M264" s="4">
        <v>136926</v>
      </c>
      <c r="N264" s="6">
        <v>0.15</v>
      </c>
      <c r="O264" s="3">
        <v>104476</v>
      </c>
      <c r="P264" s="4">
        <v>4929336</v>
      </c>
      <c r="Q264" s="4">
        <v>4189935.6</v>
      </c>
      <c r="R264" s="4">
        <v>428799.6</v>
      </c>
      <c r="S264" s="3" t="s">
        <v>62</v>
      </c>
    </row>
    <row r="265" spans="1:19" ht="15.75" customHeight="1">
      <c r="A265" s="2">
        <v>45634</v>
      </c>
      <c r="B265" s="3">
        <v>2024</v>
      </c>
      <c r="C265" s="3" t="s">
        <v>99</v>
      </c>
      <c r="D265" s="3" t="s">
        <v>89</v>
      </c>
      <c r="E265" s="3" t="s">
        <v>90</v>
      </c>
      <c r="F265" s="3" t="s">
        <v>35</v>
      </c>
      <c r="G265" s="3" t="s">
        <v>192</v>
      </c>
      <c r="H265" s="3" t="s">
        <v>58</v>
      </c>
      <c r="I265" s="3" t="s">
        <v>59</v>
      </c>
      <c r="J265" s="3" t="s">
        <v>60</v>
      </c>
      <c r="K265" s="3" t="s">
        <v>29</v>
      </c>
      <c r="L265" s="3">
        <v>13</v>
      </c>
      <c r="M265" s="4">
        <v>174161</v>
      </c>
      <c r="N265" s="6">
        <v>0.05</v>
      </c>
      <c r="O265" s="3">
        <v>85679.81</v>
      </c>
      <c r="P265" s="4">
        <v>2264093</v>
      </c>
      <c r="Q265" s="4">
        <v>2150888.35</v>
      </c>
      <c r="R265" s="4">
        <v>1037050.82</v>
      </c>
      <c r="S265" s="3" t="s">
        <v>32</v>
      </c>
    </row>
    <row r="266" spans="1:19" ht="15.75" customHeight="1">
      <c r="A266" s="2">
        <v>45319</v>
      </c>
      <c r="B266" s="3">
        <v>2024</v>
      </c>
      <c r="C266" s="3" t="s">
        <v>21</v>
      </c>
      <c r="D266" s="3" t="s">
        <v>22</v>
      </c>
      <c r="E266" s="3" t="s">
        <v>34</v>
      </c>
      <c r="F266" s="3" t="s">
        <v>80</v>
      </c>
      <c r="G266" s="3" t="s">
        <v>137</v>
      </c>
      <c r="H266" s="3" t="s">
        <v>44</v>
      </c>
      <c r="I266" s="3" t="s">
        <v>59</v>
      </c>
      <c r="J266" s="3" t="s">
        <v>153</v>
      </c>
      <c r="K266" s="3" t="s">
        <v>51</v>
      </c>
      <c r="L266" s="3">
        <v>18</v>
      </c>
      <c r="M266" s="4">
        <v>145990</v>
      </c>
      <c r="N266" s="6">
        <v>0.15</v>
      </c>
      <c r="O266" s="3">
        <v>104026.53</v>
      </c>
      <c r="P266" s="4">
        <v>2627820</v>
      </c>
      <c r="Q266" s="4">
        <v>2233647</v>
      </c>
      <c r="R266" s="4">
        <v>361169.46</v>
      </c>
      <c r="S266" s="3" t="s">
        <v>41</v>
      </c>
    </row>
    <row r="267" spans="1:19" ht="15.75" customHeight="1">
      <c r="A267" s="2">
        <v>45335</v>
      </c>
      <c r="B267" s="3">
        <v>2024</v>
      </c>
      <c r="C267" s="3" t="s">
        <v>33</v>
      </c>
      <c r="D267" s="3" t="s">
        <v>22</v>
      </c>
      <c r="E267" s="3" t="s">
        <v>43</v>
      </c>
      <c r="F267" s="3" t="s">
        <v>101</v>
      </c>
      <c r="G267" s="3" t="s">
        <v>46</v>
      </c>
      <c r="H267" s="3" t="s">
        <v>120</v>
      </c>
      <c r="I267" s="3" t="s">
        <v>113</v>
      </c>
      <c r="J267" s="3" t="s">
        <v>114</v>
      </c>
      <c r="K267" s="3" t="s">
        <v>105</v>
      </c>
      <c r="L267" s="3">
        <v>34</v>
      </c>
      <c r="M267" s="4">
        <v>56824</v>
      </c>
      <c r="N267" s="6">
        <v>0.15</v>
      </c>
      <c r="O267" s="3">
        <v>33117.019999999997</v>
      </c>
      <c r="P267" s="4">
        <v>1932016</v>
      </c>
      <c r="Q267" s="4">
        <v>1642213.6</v>
      </c>
      <c r="R267" s="4">
        <v>516234.92</v>
      </c>
      <c r="S267" s="3" t="s">
        <v>32</v>
      </c>
    </row>
    <row r="268" spans="1:19" ht="15.75" customHeight="1">
      <c r="A268" s="2">
        <v>45367</v>
      </c>
      <c r="B268" s="3">
        <v>2024</v>
      </c>
      <c r="C268" s="3" t="s">
        <v>42</v>
      </c>
      <c r="D268" s="3" t="s">
        <v>22</v>
      </c>
      <c r="E268" s="3" t="s">
        <v>79</v>
      </c>
      <c r="F268" s="3" t="s">
        <v>80</v>
      </c>
      <c r="G268" s="3" t="s">
        <v>190</v>
      </c>
      <c r="H268" s="3" t="s">
        <v>112</v>
      </c>
      <c r="I268" s="3" t="s">
        <v>27</v>
      </c>
      <c r="J268" s="3" t="s">
        <v>114</v>
      </c>
      <c r="K268" s="3" t="s">
        <v>61</v>
      </c>
      <c r="L268" s="3">
        <v>28</v>
      </c>
      <c r="M268" s="4">
        <v>109598</v>
      </c>
      <c r="N268" s="6">
        <v>0.08</v>
      </c>
      <c r="O268" s="3">
        <v>60045.49</v>
      </c>
      <c r="P268" s="4">
        <v>3068744</v>
      </c>
      <c r="Q268" s="4">
        <v>2823244.48</v>
      </c>
      <c r="R268" s="4">
        <v>1141970.76</v>
      </c>
      <c r="S268" s="3" t="s">
        <v>41</v>
      </c>
    </row>
    <row r="269" spans="1:19" ht="15.75" customHeight="1">
      <c r="A269" s="2">
        <v>45408</v>
      </c>
      <c r="B269" s="3">
        <v>2024</v>
      </c>
      <c r="C269" s="3" t="s">
        <v>53</v>
      </c>
      <c r="D269" s="3" t="s">
        <v>54</v>
      </c>
      <c r="E269" s="3" t="s">
        <v>64</v>
      </c>
      <c r="F269" s="3" t="s">
        <v>130</v>
      </c>
      <c r="G269" s="3" t="s">
        <v>162</v>
      </c>
      <c r="H269" s="3" t="s">
        <v>112</v>
      </c>
      <c r="I269" s="3" t="s">
        <v>122</v>
      </c>
      <c r="J269" s="3" t="s">
        <v>114</v>
      </c>
      <c r="K269" s="3" t="s">
        <v>29</v>
      </c>
      <c r="L269" s="3">
        <v>10</v>
      </c>
      <c r="M269" s="4">
        <v>51203</v>
      </c>
      <c r="N269" s="6">
        <v>0</v>
      </c>
      <c r="O269" s="3">
        <v>26206.34</v>
      </c>
      <c r="P269" s="4">
        <v>512030</v>
      </c>
      <c r="Q269" s="4">
        <v>512030</v>
      </c>
      <c r="R269" s="4">
        <v>249966.6</v>
      </c>
      <c r="S269" s="3" t="s">
        <v>70</v>
      </c>
    </row>
    <row r="270" spans="1:19" ht="15.75" customHeight="1">
      <c r="A270" s="2">
        <v>45422</v>
      </c>
      <c r="B270" s="3">
        <v>2024</v>
      </c>
      <c r="C270" s="3" t="s">
        <v>63</v>
      </c>
      <c r="D270" s="3" t="s">
        <v>54</v>
      </c>
      <c r="E270" s="3" t="s">
        <v>55</v>
      </c>
      <c r="F270" s="3" t="s">
        <v>132</v>
      </c>
      <c r="G270" s="3" t="s">
        <v>69</v>
      </c>
      <c r="H270" s="3" t="s">
        <v>75</v>
      </c>
      <c r="I270" s="3" t="s">
        <v>38</v>
      </c>
      <c r="J270" s="3" t="s">
        <v>76</v>
      </c>
      <c r="K270" s="3" t="s">
        <v>105</v>
      </c>
      <c r="L270" s="3">
        <v>11</v>
      </c>
      <c r="M270" s="4">
        <v>78660</v>
      </c>
      <c r="N270" s="6">
        <v>0.05</v>
      </c>
      <c r="O270" s="3">
        <v>47781.95</v>
      </c>
      <c r="P270" s="4">
        <v>865260</v>
      </c>
      <c r="Q270" s="4">
        <v>821997</v>
      </c>
      <c r="R270" s="4">
        <v>296395.55</v>
      </c>
      <c r="S270" s="3" t="s">
        <v>62</v>
      </c>
    </row>
    <row r="271" spans="1:19" ht="15.75" customHeight="1">
      <c r="A271" s="2">
        <v>45457</v>
      </c>
      <c r="B271" s="3">
        <v>2024</v>
      </c>
      <c r="C271" s="3" t="s">
        <v>68</v>
      </c>
      <c r="D271" s="3" t="s">
        <v>54</v>
      </c>
      <c r="E271" s="3" t="s">
        <v>23</v>
      </c>
      <c r="F271" s="3" t="s">
        <v>86</v>
      </c>
      <c r="G271" s="3" t="s">
        <v>92</v>
      </c>
      <c r="H271" s="3" t="s">
        <v>44</v>
      </c>
      <c r="I271" s="3" t="s">
        <v>59</v>
      </c>
      <c r="J271" s="3" t="s">
        <v>153</v>
      </c>
      <c r="K271" s="3" t="s">
        <v>29</v>
      </c>
      <c r="L271" s="3">
        <v>19</v>
      </c>
      <c r="M271" s="4">
        <v>145809</v>
      </c>
      <c r="N271" s="6">
        <v>0.12</v>
      </c>
      <c r="O271" s="3">
        <v>111014.8</v>
      </c>
      <c r="P271" s="4">
        <v>2770371</v>
      </c>
      <c r="Q271" s="4">
        <v>2437926.48</v>
      </c>
      <c r="R271" s="4">
        <v>328645.28000000003</v>
      </c>
      <c r="S271" s="3" t="s">
        <v>70</v>
      </c>
    </row>
    <row r="272" spans="1:19" ht="15.75" customHeight="1">
      <c r="A272" s="2">
        <v>45487</v>
      </c>
      <c r="B272" s="3">
        <v>2024</v>
      </c>
      <c r="C272" s="3" t="s">
        <v>72</v>
      </c>
      <c r="D272" s="3" t="s">
        <v>73</v>
      </c>
      <c r="E272" s="3" t="s">
        <v>90</v>
      </c>
      <c r="F272" s="3" t="s">
        <v>130</v>
      </c>
      <c r="G272" s="3" t="s">
        <v>139</v>
      </c>
      <c r="H272" s="3" t="s">
        <v>120</v>
      </c>
      <c r="I272" s="3" t="s">
        <v>122</v>
      </c>
      <c r="J272" s="3" t="s">
        <v>114</v>
      </c>
      <c r="K272" s="3" t="s">
        <v>105</v>
      </c>
      <c r="L272" s="3">
        <v>11</v>
      </c>
      <c r="M272" s="4">
        <v>94177</v>
      </c>
      <c r="N272" s="6">
        <v>0.2</v>
      </c>
      <c r="O272" s="3">
        <v>65796.92</v>
      </c>
      <c r="P272" s="4">
        <v>1035947</v>
      </c>
      <c r="Q272" s="4">
        <v>828757.6</v>
      </c>
      <c r="R272" s="4">
        <v>104991.48</v>
      </c>
      <c r="S272" s="3" t="s">
        <v>52</v>
      </c>
    </row>
    <row r="273" spans="1:19" ht="15.75" customHeight="1">
      <c r="A273" s="2">
        <v>45523</v>
      </c>
      <c r="B273" s="3">
        <v>2024</v>
      </c>
      <c r="C273" s="3" t="s">
        <v>78</v>
      </c>
      <c r="D273" s="3" t="s">
        <v>73</v>
      </c>
      <c r="E273" s="3" t="s">
        <v>79</v>
      </c>
      <c r="F273" s="3" t="s">
        <v>65</v>
      </c>
      <c r="G273" s="3" t="s">
        <v>174</v>
      </c>
      <c r="H273" s="3" t="s">
        <v>37</v>
      </c>
      <c r="I273" s="3" t="s">
        <v>47</v>
      </c>
      <c r="J273" s="3" t="s">
        <v>39</v>
      </c>
      <c r="K273" s="3" t="s">
        <v>29</v>
      </c>
      <c r="L273" s="3">
        <v>2</v>
      </c>
      <c r="M273" s="4">
        <v>73506</v>
      </c>
      <c r="N273" s="6">
        <v>0.05</v>
      </c>
      <c r="O273" s="3">
        <v>38495.089999999997</v>
      </c>
      <c r="P273" s="4">
        <v>147012</v>
      </c>
      <c r="Q273" s="4">
        <v>139661.4</v>
      </c>
      <c r="R273" s="4">
        <v>62671.22</v>
      </c>
      <c r="S273" s="3" t="s">
        <v>70</v>
      </c>
    </row>
    <row r="274" spans="1:19" ht="15.75" customHeight="1">
      <c r="A274" s="2">
        <v>45552</v>
      </c>
      <c r="B274" s="3">
        <v>2024</v>
      </c>
      <c r="C274" s="3" t="s">
        <v>85</v>
      </c>
      <c r="D274" s="3" t="s">
        <v>73</v>
      </c>
      <c r="E274" s="3" t="s">
        <v>43</v>
      </c>
      <c r="F274" s="3" t="s">
        <v>56</v>
      </c>
      <c r="G274" s="3" t="s">
        <v>159</v>
      </c>
      <c r="H274" s="3" t="s">
        <v>102</v>
      </c>
      <c r="I274" s="3" t="s">
        <v>49</v>
      </c>
      <c r="J274" s="3" t="s">
        <v>104</v>
      </c>
      <c r="K274" s="3" t="s">
        <v>51</v>
      </c>
      <c r="L274" s="3">
        <v>10</v>
      </c>
      <c r="M274" s="4">
        <v>114195</v>
      </c>
      <c r="N274" s="6">
        <v>0.15</v>
      </c>
      <c r="O274" s="3">
        <v>80868.06</v>
      </c>
      <c r="P274" s="4">
        <v>1141950</v>
      </c>
      <c r="Q274" s="4">
        <v>970657.5</v>
      </c>
      <c r="R274" s="4">
        <v>161976.9</v>
      </c>
      <c r="S274" s="3" t="s">
        <v>70</v>
      </c>
    </row>
    <row r="275" spans="1:19" ht="15.75" customHeight="1">
      <c r="A275" s="2">
        <v>45593</v>
      </c>
      <c r="B275" s="3">
        <v>2024</v>
      </c>
      <c r="C275" s="3" t="s">
        <v>88</v>
      </c>
      <c r="D275" s="3" t="s">
        <v>89</v>
      </c>
      <c r="E275" s="3" t="s">
        <v>55</v>
      </c>
      <c r="F275" s="3" t="s">
        <v>65</v>
      </c>
      <c r="G275" s="3" t="s">
        <v>87</v>
      </c>
      <c r="H275" s="3" t="s">
        <v>120</v>
      </c>
      <c r="I275" s="3" t="s">
        <v>122</v>
      </c>
      <c r="J275" s="3" t="s">
        <v>114</v>
      </c>
      <c r="K275" s="3" t="s">
        <v>84</v>
      </c>
      <c r="L275" s="3">
        <v>36</v>
      </c>
      <c r="M275" s="4">
        <v>153371</v>
      </c>
      <c r="N275" s="6">
        <v>0.12</v>
      </c>
      <c r="O275" s="3">
        <v>102891.49</v>
      </c>
      <c r="P275" s="4">
        <v>5521356</v>
      </c>
      <c r="Q275" s="4">
        <v>4858793.28</v>
      </c>
      <c r="R275" s="4">
        <v>1154699.6399999999</v>
      </c>
      <c r="S275" s="3" t="s">
        <v>149</v>
      </c>
    </row>
    <row r="276" spans="1:19" ht="15.75" customHeight="1">
      <c r="A276" s="2">
        <v>45614</v>
      </c>
      <c r="B276" s="3">
        <v>2024</v>
      </c>
      <c r="C276" s="3" t="s">
        <v>93</v>
      </c>
      <c r="D276" s="3" t="s">
        <v>89</v>
      </c>
      <c r="E276" s="3" t="s">
        <v>64</v>
      </c>
      <c r="F276" s="3" t="s">
        <v>165</v>
      </c>
      <c r="G276" s="3" t="s">
        <v>158</v>
      </c>
      <c r="H276" s="3" t="s">
        <v>75</v>
      </c>
      <c r="I276" s="3" t="s">
        <v>38</v>
      </c>
      <c r="J276" s="3" t="s">
        <v>76</v>
      </c>
      <c r="K276" s="3" t="s">
        <v>84</v>
      </c>
      <c r="L276" s="3">
        <v>27</v>
      </c>
      <c r="M276" s="4">
        <v>366316</v>
      </c>
      <c r="N276" s="6">
        <v>0.1</v>
      </c>
      <c r="O276" s="3">
        <v>208931.89</v>
      </c>
      <c r="P276" s="4">
        <v>9890532</v>
      </c>
      <c r="Q276" s="4">
        <v>8901478.8000000007</v>
      </c>
      <c r="R276" s="4">
        <v>3260317.77</v>
      </c>
      <c r="S276" s="3" t="s">
        <v>70</v>
      </c>
    </row>
    <row r="277" spans="1:19" ht="15.75" customHeight="1">
      <c r="A277" s="2">
        <v>45651</v>
      </c>
      <c r="B277" s="3">
        <v>2024</v>
      </c>
      <c r="C277" s="3" t="s">
        <v>99</v>
      </c>
      <c r="D277" s="3" t="s">
        <v>89</v>
      </c>
      <c r="E277" s="3" t="s">
        <v>34</v>
      </c>
      <c r="F277" s="3" t="s">
        <v>86</v>
      </c>
      <c r="G277" s="3" t="s">
        <v>186</v>
      </c>
      <c r="H277" s="3" t="s">
        <v>44</v>
      </c>
      <c r="I277" s="3" t="s">
        <v>59</v>
      </c>
      <c r="J277" s="3" t="s">
        <v>153</v>
      </c>
      <c r="K277" s="3" t="s">
        <v>51</v>
      </c>
      <c r="L277" s="3">
        <v>24</v>
      </c>
      <c r="M277" s="4">
        <v>158945</v>
      </c>
      <c r="N277" s="6">
        <v>0.15</v>
      </c>
      <c r="O277" s="3">
        <v>80608.05</v>
      </c>
      <c r="P277" s="4">
        <v>3814680</v>
      </c>
      <c r="Q277" s="4">
        <v>3242478</v>
      </c>
      <c r="R277" s="4">
        <v>1307884.8</v>
      </c>
      <c r="S277" s="3" t="s">
        <v>149</v>
      </c>
    </row>
    <row r="278" spans="1:19" ht="15.75" customHeight="1">
      <c r="A278" s="2">
        <v>45308</v>
      </c>
      <c r="B278" s="3">
        <v>2024</v>
      </c>
      <c r="C278" s="3" t="s">
        <v>21</v>
      </c>
      <c r="D278" s="3" t="s">
        <v>22</v>
      </c>
      <c r="E278" s="3" t="s">
        <v>43</v>
      </c>
      <c r="F278" s="3" t="s">
        <v>130</v>
      </c>
      <c r="G278" s="3" t="s">
        <v>177</v>
      </c>
      <c r="H278" s="3" t="s">
        <v>58</v>
      </c>
      <c r="I278" s="3" t="s">
        <v>38</v>
      </c>
      <c r="J278" s="3" t="s">
        <v>60</v>
      </c>
      <c r="K278" s="3" t="s">
        <v>67</v>
      </c>
      <c r="L278" s="3">
        <v>35</v>
      </c>
      <c r="M278" s="4">
        <v>120240</v>
      </c>
      <c r="N278" s="6">
        <v>0.05</v>
      </c>
      <c r="O278" s="3">
        <v>61784.42</v>
      </c>
      <c r="P278" s="4">
        <v>4208400</v>
      </c>
      <c r="Q278" s="4">
        <v>3997980</v>
      </c>
      <c r="R278" s="4">
        <v>1835525.3</v>
      </c>
      <c r="S278" s="3" t="s">
        <v>62</v>
      </c>
    </row>
    <row r="279" spans="1:19" ht="15.75" customHeight="1">
      <c r="A279" s="2">
        <v>45333</v>
      </c>
      <c r="B279" s="3">
        <v>2024</v>
      </c>
      <c r="C279" s="3" t="s">
        <v>33</v>
      </c>
      <c r="D279" s="3" t="s">
        <v>22</v>
      </c>
      <c r="E279" s="3" t="s">
        <v>23</v>
      </c>
      <c r="F279" s="3" t="s">
        <v>115</v>
      </c>
      <c r="G279" s="3" t="s">
        <v>92</v>
      </c>
      <c r="H279" s="3" t="s">
        <v>58</v>
      </c>
      <c r="I279" s="3" t="s">
        <v>38</v>
      </c>
      <c r="J279" s="3" t="s">
        <v>60</v>
      </c>
      <c r="K279" s="3" t="s">
        <v>193</v>
      </c>
      <c r="L279" s="3">
        <v>12</v>
      </c>
      <c r="M279" s="4">
        <v>85954</v>
      </c>
      <c r="N279" s="6">
        <v>0.12</v>
      </c>
      <c r="O279" s="3">
        <v>60553.52</v>
      </c>
      <c r="P279" s="4">
        <v>1031448</v>
      </c>
      <c r="Q279" s="4">
        <v>907674.24</v>
      </c>
      <c r="R279" s="4">
        <v>181032</v>
      </c>
      <c r="S279" s="3" t="s">
        <v>41</v>
      </c>
    </row>
    <row r="280" spans="1:19" ht="15.75" customHeight="1">
      <c r="A280" s="2">
        <v>45366</v>
      </c>
      <c r="B280" s="3">
        <v>2024</v>
      </c>
      <c r="C280" s="3" t="s">
        <v>42</v>
      </c>
      <c r="D280" s="3" t="s">
        <v>22</v>
      </c>
      <c r="E280" s="3" t="s">
        <v>90</v>
      </c>
      <c r="F280" s="3" t="s">
        <v>165</v>
      </c>
      <c r="G280" s="3" t="s">
        <v>152</v>
      </c>
      <c r="H280" s="3" t="s">
        <v>120</v>
      </c>
      <c r="I280" s="3" t="s">
        <v>113</v>
      </c>
      <c r="J280" s="3" t="s">
        <v>114</v>
      </c>
      <c r="K280" s="3" t="s">
        <v>40</v>
      </c>
      <c r="L280" s="3">
        <v>10</v>
      </c>
      <c r="M280" s="4">
        <v>114871</v>
      </c>
      <c r="N280" s="6">
        <v>0.12</v>
      </c>
      <c r="O280" s="3">
        <v>58993.3</v>
      </c>
      <c r="P280" s="4">
        <v>1148710</v>
      </c>
      <c r="Q280" s="4">
        <v>1010864.8</v>
      </c>
      <c r="R280" s="4">
        <v>420931.8</v>
      </c>
      <c r="S280" s="3" t="s">
        <v>62</v>
      </c>
    </row>
    <row r="281" spans="1:19" ht="15.75" customHeight="1">
      <c r="A281" s="2">
        <v>45407</v>
      </c>
      <c r="B281" s="3">
        <v>2024</v>
      </c>
      <c r="C281" s="3" t="s">
        <v>53</v>
      </c>
      <c r="D281" s="3" t="s">
        <v>54</v>
      </c>
      <c r="E281" s="3" t="s">
        <v>34</v>
      </c>
      <c r="F281" s="3" t="s">
        <v>147</v>
      </c>
      <c r="G281" s="3" t="s">
        <v>171</v>
      </c>
      <c r="H281" s="3" t="s">
        <v>102</v>
      </c>
      <c r="I281" s="3" t="s">
        <v>49</v>
      </c>
      <c r="J281" s="3" t="s">
        <v>104</v>
      </c>
      <c r="K281" s="3" t="s">
        <v>29</v>
      </c>
      <c r="L281" s="3">
        <v>30</v>
      </c>
      <c r="M281" s="4">
        <v>36631</v>
      </c>
      <c r="N281" s="6">
        <v>0.15</v>
      </c>
      <c r="O281" s="3">
        <v>22545.98</v>
      </c>
      <c r="P281" s="4">
        <v>1098930</v>
      </c>
      <c r="Q281" s="4">
        <v>934090.5</v>
      </c>
      <c r="R281" s="4">
        <v>257711.1</v>
      </c>
      <c r="S281" s="3" t="s">
        <v>149</v>
      </c>
    </row>
    <row r="282" spans="1:19" ht="15.75" customHeight="1">
      <c r="A282" s="2">
        <v>45429</v>
      </c>
      <c r="B282" s="3">
        <v>2024</v>
      </c>
      <c r="C282" s="3" t="s">
        <v>63</v>
      </c>
      <c r="D282" s="3" t="s">
        <v>54</v>
      </c>
      <c r="E282" s="3" t="s">
        <v>23</v>
      </c>
      <c r="F282" s="3" t="s">
        <v>80</v>
      </c>
      <c r="H282" s="3" t="s">
        <v>108</v>
      </c>
      <c r="I282" s="3" t="s">
        <v>47</v>
      </c>
      <c r="J282" s="3" t="s">
        <v>110</v>
      </c>
      <c r="K282" s="3" t="s">
        <v>29</v>
      </c>
      <c r="L282" s="3">
        <v>24</v>
      </c>
      <c r="M282" s="4">
        <v>69091</v>
      </c>
      <c r="N282" s="6">
        <v>0.15</v>
      </c>
      <c r="O282" s="3">
        <v>46395.86</v>
      </c>
      <c r="P282" s="4">
        <v>1658184</v>
      </c>
      <c r="Q282" s="4">
        <v>1409456.4</v>
      </c>
      <c r="R282" s="4">
        <v>295955.76</v>
      </c>
      <c r="S282" s="3" t="s">
        <v>62</v>
      </c>
    </row>
    <row r="283" spans="1:19" ht="15.75" customHeight="1">
      <c r="A283" s="2">
        <v>45445</v>
      </c>
      <c r="B283" s="3">
        <v>2024</v>
      </c>
      <c r="C283" s="3" t="s">
        <v>68</v>
      </c>
      <c r="D283" s="3" t="s">
        <v>54</v>
      </c>
      <c r="E283" s="3" t="s">
        <v>79</v>
      </c>
      <c r="F283" s="3" t="s">
        <v>24</v>
      </c>
      <c r="G283" s="3" t="s">
        <v>74</v>
      </c>
      <c r="H283" s="3" t="s">
        <v>44</v>
      </c>
      <c r="I283" s="3" t="s">
        <v>47</v>
      </c>
      <c r="J283" s="3" t="s">
        <v>153</v>
      </c>
      <c r="K283" s="3" t="s">
        <v>84</v>
      </c>
      <c r="L283" s="3">
        <v>6</v>
      </c>
      <c r="M283" s="4">
        <v>143050</v>
      </c>
      <c r="N283" s="6"/>
      <c r="O283" s="3">
        <v>110977.77</v>
      </c>
      <c r="P283" s="4">
        <v>858300</v>
      </c>
      <c r="Q283" s="4">
        <v>858300</v>
      </c>
      <c r="R283" s="4">
        <v>192433.38</v>
      </c>
      <c r="S283" s="3" t="s">
        <v>149</v>
      </c>
    </row>
    <row r="284" spans="1:19" ht="15.75" customHeight="1">
      <c r="A284" s="2">
        <v>45489</v>
      </c>
      <c r="B284" s="3">
        <v>2024</v>
      </c>
      <c r="C284" s="3" t="s">
        <v>72</v>
      </c>
      <c r="D284" s="3" t="s">
        <v>73</v>
      </c>
      <c r="E284" s="3" t="s">
        <v>64</v>
      </c>
      <c r="F284" s="3" t="s">
        <v>80</v>
      </c>
      <c r="G284" s="3" t="s">
        <v>138</v>
      </c>
      <c r="H284" s="3" t="s">
        <v>96</v>
      </c>
      <c r="I284" s="3" t="s">
        <v>59</v>
      </c>
      <c r="J284" s="3" t="s">
        <v>83</v>
      </c>
      <c r="K284" s="3" t="s">
        <v>67</v>
      </c>
      <c r="L284" s="3">
        <v>143</v>
      </c>
      <c r="M284" s="4">
        <v>105891</v>
      </c>
      <c r="N284" s="6">
        <v>0.2</v>
      </c>
      <c r="O284" s="3">
        <v>80957.06</v>
      </c>
      <c r="P284" s="4">
        <v>15142413</v>
      </c>
      <c r="Q284" s="4">
        <v>12113930.4</v>
      </c>
      <c r="R284" s="4">
        <v>537070.81999999995</v>
      </c>
      <c r="S284" s="3" t="s">
        <v>70</v>
      </c>
    </row>
    <row r="285" spans="1:19" ht="15.75" customHeight="1">
      <c r="A285" s="2">
        <v>45522</v>
      </c>
      <c r="B285" s="3">
        <v>2024</v>
      </c>
      <c r="C285" s="3" t="s">
        <v>78</v>
      </c>
      <c r="D285" s="3" t="s">
        <v>73</v>
      </c>
      <c r="E285" s="3" t="s">
        <v>55</v>
      </c>
      <c r="F285" s="3" t="s">
        <v>80</v>
      </c>
      <c r="G285" s="3" t="s">
        <v>36</v>
      </c>
      <c r="H285" s="3" t="s">
        <v>96</v>
      </c>
      <c r="I285" s="3" t="s">
        <v>59</v>
      </c>
      <c r="J285" s="3" t="s">
        <v>83</v>
      </c>
      <c r="K285" s="3" t="s">
        <v>40</v>
      </c>
      <c r="L285" s="3">
        <v>39</v>
      </c>
      <c r="M285" s="4">
        <v>157364</v>
      </c>
      <c r="N285" s="6">
        <v>0.1</v>
      </c>
      <c r="O285" s="3">
        <v>95564.71</v>
      </c>
      <c r="P285" s="4">
        <v>6137196</v>
      </c>
      <c r="Q285" s="4">
        <v>5523476.4000000004</v>
      </c>
      <c r="R285" s="4">
        <v>1796452.71</v>
      </c>
      <c r="S285" s="3" t="s">
        <v>62</v>
      </c>
    </row>
    <row r="286" spans="1:19" ht="15.75" customHeight="1">
      <c r="A286" s="2">
        <v>45536</v>
      </c>
      <c r="B286" s="3">
        <v>2024</v>
      </c>
      <c r="C286" s="3" t="s">
        <v>85</v>
      </c>
      <c r="D286" s="3" t="s">
        <v>73</v>
      </c>
      <c r="E286" s="3" t="s">
        <v>79</v>
      </c>
      <c r="F286" s="3" t="s">
        <v>86</v>
      </c>
      <c r="G286" s="3" t="s">
        <v>161</v>
      </c>
      <c r="H286" s="3" t="s">
        <v>96</v>
      </c>
      <c r="I286" s="3" t="s">
        <v>38</v>
      </c>
      <c r="J286" s="3" t="s">
        <v>83</v>
      </c>
      <c r="K286" s="3" t="s">
        <v>67</v>
      </c>
      <c r="L286" s="3">
        <v>5</v>
      </c>
      <c r="M286" s="4">
        <v>153284</v>
      </c>
      <c r="N286" s="6">
        <v>0.15</v>
      </c>
      <c r="O286" s="3">
        <v>97093.83</v>
      </c>
      <c r="P286" s="4">
        <v>766420</v>
      </c>
      <c r="Q286" s="4">
        <v>651457</v>
      </c>
      <c r="R286" s="4">
        <v>165987.85</v>
      </c>
      <c r="S286" s="3" t="s">
        <v>70</v>
      </c>
    </row>
    <row r="287" spans="1:19" ht="15.75" customHeight="1">
      <c r="A287" s="2">
        <v>45569</v>
      </c>
      <c r="B287" s="3">
        <v>2024</v>
      </c>
      <c r="C287" s="3" t="s">
        <v>88</v>
      </c>
      <c r="D287" s="3" t="s">
        <v>89</v>
      </c>
      <c r="E287" s="3" t="s">
        <v>79</v>
      </c>
      <c r="F287" s="3" t="s">
        <v>101</v>
      </c>
      <c r="G287" s="3" t="s">
        <v>146</v>
      </c>
      <c r="H287" s="3" t="s">
        <v>82</v>
      </c>
      <c r="I287" s="3" t="s">
        <v>59</v>
      </c>
      <c r="J287" s="3" t="s">
        <v>83</v>
      </c>
      <c r="K287" s="3" t="s">
        <v>40</v>
      </c>
      <c r="L287" s="3">
        <v>9</v>
      </c>
      <c r="M287" s="4">
        <v>20198</v>
      </c>
      <c r="N287" s="6">
        <v>0.12</v>
      </c>
      <c r="O287" s="3">
        <v>10443.700000000001</v>
      </c>
      <c r="P287" s="4">
        <v>181782</v>
      </c>
      <c r="Q287" s="4">
        <v>159968.16</v>
      </c>
      <c r="R287" s="4">
        <v>65974.86</v>
      </c>
      <c r="S287" s="3" t="s">
        <v>32</v>
      </c>
    </row>
    <row r="288" spans="1:19" ht="15.75" customHeight="1">
      <c r="A288" s="2">
        <v>45605</v>
      </c>
      <c r="B288" s="3">
        <v>2024</v>
      </c>
      <c r="C288" s="3" t="s">
        <v>93</v>
      </c>
      <c r="D288" s="3" t="s">
        <v>89</v>
      </c>
      <c r="E288" s="3" t="s">
        <v>23</v>
      </c>
      <c r="F288" s="3" t="s">
        <v>86</v>
      </c>
      <c r="G288" s="3" t="s">
        <v>139</v>
      </c>
      <c r="H288" s="3" t="s">
        <v>48</v>
      </c>
      <c r="I288" s="3" t="s">
        <v>49</v>
      </c>
      <c r="J288" s="3" t="s">
        <v>50</v>
      </c>
      <c r="K288" s="3" t="s">
        <v>105</v>
      </c>
      <c r="L288" s="3">
        <v>14</v>
      </c>
      <c r="M288" s="4">
        <v>32960</v>
      </c>
      <c r="N288" s="6">
        <v>0</v>
      </c>
      <c r="O288" s="3">
        <v>18995.64</v>
      </c>
      <c r="P288" s="4">
        <v>461440</v>
      </c>
      <c r="Q288" s="4">
        <v>461440</v>
      </c>
      <c r="R288" s="4">
        <v>195501.04</v>
      </c>
      <c r="S288" s="3" t="s">
        <v>149</v>
      </c>
    </row>
    <row r="289" spans="1:19" ht="15.75" customHeight="1">
      <c r="A289" s="2">
        <v>45643</v>
      </c>
      <c r="B289" s="3">
        <v>2024</v>
      </c>
      <c r="C289" s="3" t="s">
        <v>99</v>
      </c>
      <c r="D289" s="3" t="s">
        <v>89</v>
      </c>
      <c r="E289" s="3" t="s">
        <v>23</v>
      </c>
      <c r="F289" s="3" t="s">
        <v>101</v>
      </c>
      <c r="G289" s="3" t="s">
        <v>133</v>
      </c>
      <c r="H289" s="3" t="s">
        <v>112</v>
      </c>
      <c r="I289" s="3" t="s">
        <v>27</v>
      </c>
      <c r="J289" s="3" t="s">
        <v>114</v>
      </c>
      <c r="K289" s="3" t="s">
        <v>105</v>
      </c>
      <c r="L289" s="3">
        <v>14</v>
      </c>
      <c r="M289" s="4">
        <v>37459</v>
      </c>
      <c r="N289" s="6">
        <v>0.15</v>
      </c>
      <c r="O289" s="3">
        <v>23826.97</v>
      </c>
      <c r="P289" s="4">
        <v>524426</v>
      </c>
      <c r="Q289" s="4">
        <v>445762.1</v>
      </c>
      <c r="R289" s="4">
        <v>112184.52</v>
      </c>
      <c r="S289" s="3" t="s">
        <v>41</v>
      </c>
    </row>
    <row r="290" spans="1:19" ht="15.75" customHeight="1">
      <c r="A290" s="2">
        <v>45309</v>
      </c>
      <c r="B290" s="3">
        <v>2024</v>
      </c>
      <c r="C290" s="3" t="s">
        <v>21</v>
      </c>
      <c r="D290" s="3" t="s">
        <v>22</v>
      </c>
      <c r="E290" s="3" t="s">
        <v>34</v>
      </c>
      <c r="F290" s="3" t="s">
        <v>101</v>
      </c>
      <c r="G290" s="3" t="s">
        <v>127</v>
      </c>
      <c r="H290" s="3" t="s">
        <v>37</v>
      </c>
      <c r="I290" s="3" t="s">
        <v>38</v>
      </c>
      <c r="J290" s="3" t="s">
        <v>39</v>
      </c>
      <c r="K290" s="3" t="s">
        <v>67</v>
      </c>
      <c r="L290" s="3">
        <v>30</v>
      </c>
      <c r="M290" s="4">
        <v>123955</v>
      </c>
      <c r="N290" s="6">
        <v>0.1</v>
      </c>
      <c r="O290" s="3">
        <v>90160.1</v>
      </c>
      <c r="P290" s="4">
        <v>3718650</v>
      </c>
      <c r="Q290" s="4">
        <v>3346785</v>
      </c>
      <c r="R290" s="4">
        <v>641982</v>
      </c>
      <c r="S290" s="3" t="s">
        <v>52</v>
      </c>
    </row>
    <row r="291" spans="1:19" ht="15.75" customHeight="1">
      <c r="A291" s="2">
        <v>45333</v>
      </c>
      <c r="B291" s="3">
        <v>2024</v>
      </c>
      <c r="C291" s="3" t="s">
        <v>33</v>
      </c>
      <c r="D291" s="3" t="s">
        <v>22</v>
      </c>
      <c r="E291" s="3" t="s">
        <v>79</v>
      </c>
      <c r="F291" s="3" t="s">
        <v>80</v>
      </c>
      <c r="G291" s="3" t="s">
        <v>178</v>
      </c>
      <c r="H291" s="3" t="s">
        <v>120</v>
      </c>
      <c r="I291" s="3" t="s">
        <v>122</v>
      </c>
      <c r="J291" s="3" t="s">
        <v>114</v>
      </c>
      <c r="K291" s="3" t="s">
        <v>40</v>
      </c>
      <c r="L291" s="3">
        <v>28</v>
      </c>
      <c r="M291" s="4">
        <v>96790</v>
      </c>
      <c r="N291" s="6">
        <v>0.15</v>
      </c>
      <c r="O291" s="3">
        <v>56261.32</v>
      </c>
      <c r="P291" s="4">
        <v>2710120</v>
      </c>
      <c r="Q291" s="4">
        <v>2303602</v>
      </c>
      <c r="R291" s="4">
        <v>728285.04</v>
      </c>
      <c r="S291" s="3" t="s">
        <v>52</v>
      </c>
    </row>
    <row r="292" spans="1:19" ht="15.75" customHeight="1">
      <c r="A292" s="2">
        <v>45375</v>
      </c>
      <c r="B292" s="3">
        <v>2024</v>
      </c>
      <c r="C292" s="3" t="s">
        <v>42</v>
      </c>
      <c r="D292" s="3" t="s">
        <v>22</v>
      </c>
      <c r="E292" s="3" t="s">
        <v>23</v>
      </c>
      <c r="F292" s="3" t="s">
        <v>86</v>
      </c>
      <c r="G292" s="3" t="s">
        <v>148</v>
      </c>
      <c r="H292" s="3" t="s">
        <v>44</v>
      </c>
      <c r="I292" s="3" t="s">
        <v>59</v>
      </c>
      <c r="J292" s="3" t="s">
        <v>153</v>
      </c>
      <c r="K292" s="3" t="s">
        <v>29</v>
      </c>
      <c r="L292" s="3">
        <v>160</v>
      </c>
      <c r="M292" s="4">
        <v>68314</v>
      </c>
      <c r="N292" s="6">
        <v>0</v>
      </c>
      <c r="O292" s="3">
        <v>49188.34</v>
      </c>
      <c r="P292" s="4">
        <v>10930240</v>
      </c>
      <c r="Q292" s="4">
        <v>10930240</v>
      </c>
      <c r="R292" s="4">
        <v>3060105.6</v>
      </c>
      <c r="S292" s="3" t="s">
        <v>149</v>
      </c>
    </row>
    <row r="293" spans="1:19" ht="15.75" customHeight="1">
      <c r="A293" s="2">
        <v>45386</v>
      </c>
      <c r="B293" s="3">
        <v>2024</v>
      </c>
      <c r="C293" s="3" t="s">
        <v>53</v>
      </c>
      <c r="D293" s="3" t="s">
        <v>54</v>
      </c>
      <c r="E293" s="3" t="s">
        <v>23</v>
      </c>
      <c r="F293" s="3" t="s">
        <v>65</v>
      </c>
      <c r="G293" s="3" t="s">
        <v>74</v>
      </c>
      <c r="H293" s="3" t="s">
        <v>96</v>
      </c>
      <c r="I293" s="3" t="s">
        <v>38</v>
      </c>
      <c r="J293" s="3" t="s">
        <v>83</v>
      </c>
      <c r="K293" s="3" t="s">
        <v>29</v>
      </c>
      <c r="L293" s="3">
        <v>17</v>
      </c>
      <c r="M293" s="4">
        <v>164608</v>
      </c>
      <c r="N293" s="6">
        <v>0.2</v>
      </c>
      <c r="O293" s="3">
        <v>120801.86</v>
      </c>
      <c r="P293" s="4">
        <v>2798336</v>
      </c>
      <c r="Q293" s="4">
        <v>2238668.7999999998</v>
      </c>
      <c r="R293" s="4">
        <v>185037.18</v>
      </c>
      <c r="S293" s="3" t="s">
        <v>32</v>
      </c>
    </row>
    <row r="294" spans="1:19" ht="15.75" customHeight="1">
      <c r="A294" s="2">
        <v>45418</v>
      </c>
      <c r="B294" s="3">
        <v>2024</v>
      </c>
      <c r="C294" s="3" t="s">
        <v>63</v>
      </c>
      <c r="D294" s="3" t="s">
        <v>54</v>
      </c>
      <c r="E294" s="3" t="s">
        <v>34</v>
      </c>
      <c r="F294" s="3" t="s">
        <v>95</v>
      </c>
      <c r="G294" s="3" t="s">
        <v>57</v>
      </c>
      <c r="H294" s="3" t="s">
        <v>75</v>
      </c>
      <c r="I294" s="3" t="s">
        <v>59</v>
      </c>
      <c r="J294" s="3" t="s">
        <v>76</v>
      </c>
      <c r="K294" s="3" t="s">
        <v>51</v>
      </c>
      <c r="L294" s="3">
        <v>220</v>
      </c>
      <c r="M294" s="4">
        <v>32572</v>
      </c>
      <c r="N294" s="6"/>
      <c r="O294" s="3">
        <v>18623.87</v>
      </c>
      <c r="P294" s="4">
        <v>7165840</v>
      </c>
      <c r="Q294" s="4">
        <v>7165840</v>
      </c>
      <c r="R294" s="4">
        <v>3068588.6</v>
      </c>
      <c r="S294" s="3" t="s">
        <v>70</v>
      </c>
    </row>
    <row r="295" spans="1:19" ht="15.75" customHeight="1">
      <c r="A295" s="2">
        <v>45444</v>
      </c>
      <c r="B295" s="3">
        <v>2024</v>
      </c>
      <c r="C295" s="3" t="s">
        <v>68</v>
      </c>
      <c r="D295" s="3" t="s">
        <v>54</v>
      </c>
      <c r="E295" s="3" t="s">
        <v>90</v>
      </c>
      <c r="F295" s="3" t="s">
        <v>24</v>
      </c>
      <c r="G295" s="3" t="s">
        <v>145</v>
      </c>
      <c r="H295" s="3" t="s">
        <v>48</v>
      </c>
      <c r="I295" s="3" t="s">
        <v>49</v>
      </c>
      <c r="J295" s="3" t="s">
        <v>50</v>
      </c>
      <c r="K295" s="3" t="s">
        <v>84</v>
      </c>
      <c r="L295" s="3">
        <v>238</v>
      </c>
      <c r="M295" s="4">
        <v>97676</v>
      </c>
      <c r="N295" s="6">
        <v>0.15</v>
      </c>
      <c r="O295" s="3">
        <v>49191.5</v>
      </c>
      <c r="P295" s="4">
        <v>23246888</v>
      </c>
      <c r="Q295" s="4">
        <v>19759854.800000001</v>
      </c>
      <c r="R295" s="4">
        <v>8052277.7999999998</v>
      </c>
      <c r="S295" s="3" t="s">
        <v>149</v>
      </c>
    </row>
    <row r="296" spans="1:19" ht="15.75" customHeight="1">
      <c r="A296" s="2">
        <v>45481</v>
      </c>
      <c r="B296" s="3">
        <v>2024</v>
      </c>
      <c r="C296" s="3" t="s">
        <v>72</v>
      </c>
      <c r="D296" s="3" t="s">
        <v>73</v>
      </c>
      <c r="E296" s="3" t="s">
        <v>34</v>
      </c>
      <c r="F296" s="3" t="s">
        <v>80</v>
      </c>
      <c r="G296" s="3" t="s">
        <v>170</v>
      </c>
      <c r="H296" s="3" t="s">
        <v>82</v>
      </c>
      <c r="I296" s="3" t="s">
        <v>59</v>
      </c>
      <c r="J296" s="3" t="s">
        <v>83</v>
      </c>
      <c r="K296" s="3" t="s">
        <v>29</v>
      </c>
      <c r="L296" s="3">
        <v>22</v>
      </c>
      <c r="M296" s="4">
        <v>161799</v>
      </c>
      <c r="N296" s="6">
        <v>0.08</v>
      </c>
      <c r="O296" s="3">
        <v>87678.12</v>
      </c>
      <c r="P296" s="4">
        <v>3559578</v>
      </c>
      <c r="Q296" s="4">
        <v>3274811.76</v>
      </c>
      <c r="R296" s="4">
        <v>1345893.12</v>
      </c>
      <c r="S296" s="3" t="s">
        <v>70</v>
      </c>
    </row>
    <row r="297" spans="1:19" ht="15.75" customHeight="1">
      <c r="A297" s="2">
        <v>45520</v>
      </c>
      <c r="B297" s="3">
        <v>2024</v>
      </c>
      <c r="C297" s="3" t="s">
        <v>78</v>
      </c>
      <c r="D297" s="3" t="s">
        <v>73</v>
      </c>
      <c r="E297" s="3" t="s">
        <v>34</v>
      </c>
      <c r="F297" s="3" t="s">
        <v>95</v>
      </c>
      <c r="G297" s="3" t="s">
        <v>179</v>
      </c>
      <c r="H297" s="3" t="s">
        <v>58</v>
      </c>
      <c r="I297" s="3" t="s">
        <v>38</v>
      </c>
      <c r="J297" s="3" t="s">
        <v>60</v>
      </c>
      <c r="K297" s="3" t="s">
        <v>51</v>
      </c>
      <c r="L297" s="3">
        <v>40</v>
      </c>
      <c r="M297" s="4">
        <v>149428</v>
      </c>
      <c r="N297" s="6">
        <v>0.05</v>
      </c>
      <c r="O297" s="3">
        <v>81167.789999999994</v>
      </c>
      <c r="P297" s="4">
        <v>5977120</v>
      </c>
      <c r="Q297" s="4">
        <v>5678264</v>
      </c>
      <c r="R297" s="4">
        <v>2431552.4</v>
      </c>
      <c r="S297" s="3" t="s">
        <v>70</v>
      </c>
    </row>
    <row r="298" spans="1:19" ht="15.75" customHeight="1">
      <c r="A298" s="2">
        <v>45547</v>
      </c>
      <c r="B298" s="3">
        <v>2024</v>
      </c>
      <c r="C298" s="3" t="s">
        <v>85</v>
      </c>
      <c r="D298" s="3" t="s">
        <v>73</v>
      </c>
      <c r="E298" s="3" t="s">
        <v>64</v>
      </c>
      <c r="F298" s="3" t="s">
        <v>80</v>
      </c>
      <c r="G298" s="3" t="s">
        <v>181</v>
      </c>
      <c r="H298" s="3" t="s">
        <v>120</v>
      </c>
      <c r="I298" s="3" t="s">
        <v>27</v>
      </c>
      <c r="J298" s="3" t="s">
        <v>114</v>
      </c>
      <c r="K298" s="3" t="s">
        <v>40</v>
      </c>
      <c r="L298" s="3">
        <v>20</v>
      </c>
      <c r="M298" s="4">
        <v>103676</v>
      </c>
      <c r="N298" s="6">
        <v>0.12</v>
      </c>
      <c r="O298" s="3">
        <v>69267.360000000001</v>
      </c>
      <c r="P298" s="4">
        <v>2073520</v>
      </c>
      <c r="Q298" s="4">
        <v>1824697.6</v>
      </c>
      <c r="R298" s="4">
        <v>439350.4</v>
      </c>
      <c r="S298" s="3" t="s">
        <v>70</v>
      </c>
    </row>
    <row r="299" spans="1:19" ht="15.75" customHeight="1">
      <c r="A299" s="2">
        <v>45569</v>
      </c>
      <c r="B299" s="3">
        <v>2024</v>
      </c>
      <c r="C299" s="3" t="s">
        <v>88</v>
      </c>
      <c r="D299" s="3" t="s">
        <v>89</v>
      </c>
      <c r="E299" s="3" t="s">
        <v>90</v>
      </c>
      <c r="F299" s="3" t="s">
        <v>56</v>
      </c>
      <c r="G299" s="3" t="s">
        <v>170</v>
      </c>
      <c r="H299" s="3" t="s">
        <v>82</v>
      </c>
      <c r="I299" s="3" t="s">
        <v>38</v>
      </c>
      <c r="J299" s="3" t="s">
        <v>83</v>
      </c>
      <c r="K299" s="3" t="s">
        <v>40</v>
      </c>
      <c r="L299" s="3">
        <v>114</v>
      </c>
      <c r="M299" s="4">
        <v>91984</v>
      </c>
      <c r="N299" s="6">
        <v>0</v>
      </c>
      <c r="O299" s="3">
        <v>52077.37</v>
      </c>
      <c r="P299" s="4">
        <v>10486176</v>
      </c>
      <c r="Q299" s="4">
        <v>10486176</v>
      </c>
      <c r="R299" s="4">
        <v>4549355.82</v>
      </c>
      <c r="S299" s="3" t="s">
        <v>149</v>
      </c>
    </row>
    <row r="300" spans="1:19" ht="15.75" customHeight="1">
      <c r="A300" s="2">
        <v>45620</v>
      </c>
      <c r="B300" s="3">
        <v>2024</v>
      </c>
      <c r="C300" s="3" t="s">
        <v>93</v>
      </c>
      <c r="D300" s="3" t="s">
        <v>89</v>
      </c>
      <c r="E300" s="3" t="s">
        <v>64</v>
      </c>
      <c r="F300" s="3" t="s">
        <v>95</v>
      </c>
      <c r="G300" s="3" t="s">
        <v>191</v>
      </c>
      <c r="H300" s="3" t="s">
        <v>48</v>
      </c>
      <c r="I300" s="3" t="s">
        <v>124</v>
      </c>
      <c r="J300" s="3" t="s">
        <v>50</v>
      </c>
      <c r="K300" s="3" t="s">
        <v>61</v>
      </c>
      <c r="L300" s="3">
        <v>38</v>
      </c>
      <c r="M300" s="4">
        <v>150097</v>
      </c>
      <c r="N300" s="6">
        <v>0.1</v>
      </c>
      <c r="O300" s="3">
        <v>70701.47</v>
      </c>
      <c r="P300" s="4">
        <v>5703686</v>
      </c>
      <c r="Q300" s="4">
        <v>5133317.4000000004</v>
      </c>
      <c r="R300" s="4">
        <v>2446661.54</v>
      </c>
      <c r="S300" s="3" t="s">
        <v>41</v>
      </c>
    </row>
    <row r="301" spans="1:19" ht="15.75" customHeight="1">
      <c r="A301" s="2">
        <v>45639</v>
      </c>
      <c r="B301" s="3">
        <v>2024</v>
      </c>
      <c r="C301" s="3" t="s">
        <v>99</v>
      </c>
      <c r="D301" s="3" t="s">
        <v>89</v>
      </c>
      <c r="E301" s="3" t="s">
        <v>90</v>
      </c>
      <c r="F301" s="3" t="s">
        <v>80</v>
      </c>
      <c r="G301" s="3" t="s">
        <v>164</v>
      </c>
      <c r="H301" s="3" t="s">
        <v>82</v>
      </c>
      <c r="I301" s="3" t="s">
        <v>47</v>
      </c>
      <c r="J301" s="3" t="s">
        <v>83</v>
      </c>
      <c r="K301" s="3" t="s">
        <v>105</v>
      </c>
      <c r="L301" s="3">
        <v>19</v>
      </c>
      <c r="M301" s="4">
        <v>113324</v>
      </c>
      <c r="N301" s="6">
        <v>0.08</v>
      </c>
      <c r="O301" s="3">
        <v>71166.240000000005</v>
      </c>
      <c r="P301" s="4">
        <v>2153156</v>
      </c>
      <c r="Q301" s="4">
        <v>1980903.52</v>
      </c>
      <c r="R301" s="4">
        <v>628744.95999999996</v>
      </c>
      <c r="S301" s="3" t="s">
        <v>149</v>
      </c>
    </row>
    <row r="302" spans="1:19" ht="15.75" customHeight="1">
      <c r="A302" s="2">
        <v>45308</v>
      </c>
      <c r="B302" s="3">
        <v>2024</v>
      </c>
      <c r="C302" s="3" t="s">
        <v>21</v>
      </c>
      <c r="D302" s="3" t="s">
        <v>22</v>
      </c>
      <c r="E302" s="3" t="s">
        <v>34</v>
      </c>
      <c r="F302" s="3" t="s">
        <v>132</v>
      </c>
      <c r="G302" s="3" t="s">
        <v>146</v>
      </c>
      <c r="H302" s="3" t="s">
        <v>58</v>
      </c>
      <c r="I302" s="3" t="s">
        <v>59</v>
      </c>
      <c r="J302" s="3" t="s">
        <v>60</v>
      </c>
      <c r="K302" s="3" t="s">
        <v>29</v>
      </c>
      <c r="L302" s="3">
        <v>34</v>
      </c>
      <c r="M302" s="4">
        <v>140432</v>
      </c>
      <c r="N302" s="6">
        <v>0.1</v>
      </c>
      <c r="O302" s="3">
        <v>64097.42</v>
      </c>
      <c r="P302" s="4">
        <v>4774688</v>
      </c>
      <c r="Q302" s="4">
        <v>4297219.2</v>
      </c>
      <c r="R302" s="4">
        <v>2117906.92</v>
      </c>
      <c r="S302" s="3" t="s">
        <v>149</v>
      </c>
    </row>
    <row r="303" spans="1:19" ht="15.75" customHeight="1">
      <c r="A303" s="2">
        <v>45348</v>
      </c>
      <c r="B303" s="3">
        <v>2024</v>
      </c>
      <c r="C303" s="3" t="s">
        <v>33</v>
      </c>
      <c r="D303" s="3" t="s">
        <v>22</v>
      </c>
      <c r="E303" s="3" t="s">
        <v>23</v>
      </c>
      <c r="F303" s="3" t="s">
        <v>24</v>
      </c>
      <c r="G303" s="3" t="s">
        <v>157</v>
      </c>
      <c r="H303" s="3" t="s">
        <v>112</v>
      </c>
      <c r="I303" s="3" t="s">
        <v>27</v>
      </c>
      <c r="J303" s="3" t="s">
        <v>114</v>
      </c>
      <c r="K303" s="3" t="s">
        <v>40</v>
      </c>
      <c r="L303" s="3">
        <v>2</v>
      </c>
      <c r="M303" s="4">
        <v>85451</v>
      </c>
      <c r="N303" s="6"/>
      <c r="O303" s="3">
        <v>65285.53</v>
      </c>
      <c r="P303" s="4">
        <v>170902</v>
      </c>
      <c r="Q303" s="4">
        <v>170902</v>
      </c>
      <c r="R303" s="4">
        <v>40330.94</v>
      </c>
      <c r="S303" s="3" t="s">
        <v>149</v>
      </c>
    </row>
    <row r="304" spans="1:19" ht="15.75" customHeight="1">
      <c r="A304" s="2">
        <v>45359</v>
      </c>
      <c r="B304" s="3">
        <v>2024</v>
      </c>
      <c r="C304" s="3" t="s">
        <v>42</v>
      </c>
      <c r="D304" s="3" t="s">
        <v>22</v>
      </c>
      <c r="E304" s="3" t="s">
        <v>34</v>
      </c>
      <c r="F304" s="3" t="s">
        <v>147</v>
      </c>
      <c r="G304" s="3" t="s">
        <v>74</v>
      </c>
      <c r="H304" s="3" t="s">
        <v>26</v>
      </c>
      <c r="I304" s="3" t="s">
        <v>27</v>
      </c>
      <c r="J304" s="3" t="s">
        <v>28</v>
      </c>
      <c r="K304" s="3" t="s">
        <v>61</v>
      </c>
      <c r="L304" s="3">
        <v>20</v>
      </c>
      <c r="M304" s="4">
        <v>98320</v>
      </c>
      <c r="N304" s="6">
        <v>0.1</v>
      </c>
      <c r="O304" s="3">
        <v>51358.93</v>
      </c>
      <c r="P304" s="4">
        <v>1966400</v>
      </c>
      <c r="Q304" s="4">
        <v>1769760</v>
      </c>
      <c r="R304" s="4">
        <v>742581.4</v>
      </c>
      <c r="S304" s="3" t="s">
        <v>41</v>
      </c>
    </row>
    <row r="305" spans="1:19" ht="15.75" customHeight="1">
      <c r="A305" s="2">
        <v>45399</v>
      </c>
      <c r="B305" s="3">
        <v>2024</v>
      </c>
      <c r="C305" s="3" t="s">
        <v>53</v>
      </c>
      <c r="D305" s="3" t="s">
        <v>54</v>
      </c>
      <c r="E305" s="3" t="s">
        <v>64</v>
      </c>
      <c r="F305" s="3" t="s">
        <v>91</v>
      </c>
      <c r="G305" s="3" t="s">
        <v>169</v>
      </c>
      <c r="H305" s="3" t="s">
        <v>37</v>
      </c>
      <c r="I305" s="3" t="s">
        <v>59</v>
      </c>
      <c r="J305" s="3" t="s">
        <v>39</v>
      </c>
      <c r="K305" s="3" t="s">
        <v>84</v>
      </c>
      <c r="L305" s="3">
        <v>5</v>
      </c>
      <c r="M305" s="4">
        <v>43034</v>
      </c>
      <c r="N305" s="6">
        <v>0.1</v>
      </c>
      <c r="O305" s="3">
        <v>30316.5</v>
      </c>
      <c r="P305" s="4">
        <v>215170</v>
      </c>
      <c r="Q305" s="4">
        <v>193653</v>
      </c>
      <c r="R305" s="4">
        <v>42070.5</v>
      </c>
      <c r="S305" s="3" t="s">
        <v>62</v>
      </c>
    </row>
    <row r="306" spans="1:19" ht="15.75" customHeight="1">
      <c r="A306" s="2">
        <v>45421</v>
      </c>
      <c r="B306" s="3">
        <v>2024</v>
      </c>
      <c r="C306" s="3" t="s">
        <v>63</v>
      </c>
      <c r="D306" s="3" t="s">
        <v>54</v>
      </c>
      <c r="E306" s="3" t="s">
        <v>64</v>
      </c>
      <c r="F306" s="3" t="s">
        <v>115</v>
      </c>
      <c r="G306" s="3" t="s">
        <v>119</v>
      </c>
      <c r="H306" s="3" t="s">
        <v>37</v>
      </c>
      <c r="I306" s="3" t="s">
        <v>59</v>
      </c>
      <c r="J306" s="3" t="s">
        <v>39</v>
      </c>
      <c r="K306" s="3" t="s">
        <v>29</v>
      </c>
      <c r="L306" s="3">
        <v>2</v>
      </c>
      <c r="M306" s="4">
        <v>172427</v>
      </c>
      <c r="N306" s="6">
        <v>0.15</v>
      </c>
      <c r="O306" s="3">
        <v>113582.19</v>
      </c>
      <c r="P306" s="4">
        <v>344854</v>
      </c>
      <c r="Q306" s="4">
        <v>293125.90000000002</v>
      </c>
      <c r="R306" s="4">
        <v>65961.52</v>
      </c>
      <c r="S306" s="3" t="s">
        <v>41</v>
      </c>
    </row>
    <row r="307" spans="1:19" ht="15.75" customHeight="1">
      <c r="A307" s="2">
        <v>45459</v>
      </c>
      <c r="B307" s="3">
        <v>2024</v>
      </c>
      <c r="C307" s="3" t="s">
        <v>68</v>
      </c>
      <c r="D307" s="3" t="s">
        <v>54</v>
      </c>
      <c r="E307" s="3" t="s">
        <v>90</v>
      </c>
      <c r="F307" s="3" t="s">
        <v>24</v>
      </c>
      <c r="G307" s="3" t="s">
        <v>190</v>
      </c>
      <c r="H307" s="3" t="s">
        <v>48</v>
      </c>
      <c r="I307" s="3" t="s">
        <v>124</v>
      </c>
      <c r="J307" s="3" t="s">
        <v>50</v>
      </c>
      <c r="K307" s="3" t="s">
        <v>40</v>
      </c>
      <c r="L307" s="3">
        <v>25</v>
      </c>
      <c r="M307" s="4">
        <v>48048</v>
      </c>
      <c r="N307" s="6">
        <v>0.15</v>
      </c>
      <c r="O307" s="3">
        <v>22163.599999999999</v>
      </c>
      <c r="P307" s="4">
        <v>1201200</v>
      </c>
      <c r="Q307" s="4">
        <v>1021020</v>
      </c>
      <c r="R307" s="4">
        <v>466930</v>
      </c>
      <c r="S307" s="3" t="s">
        <v>32</v>
      </c>
    </row>
    <row r="308" spans="1:19" ht="15.75" customHeight="1">
      <c r="A308" s="2">
        <v>45476</v>
      </c>
      <c r="B308" s="3">
        <v>2024</v>
      </c>
      <c r="C308" s="3" t="s">
        <v>72</v>
      </c>
      <c r="D308" s="3" t="s">
        <v>73</v>
      </c>
      <c r="E308" s="3" t="s">
        <v>64</v>
      </c>
      <c r="F308" s="3" t="s">
        <v>65</v>
      </c>
      <c r="G308" s="3" t="s">
        <v>161</v>
      </c>
      <c r="H308" s="3" t="s">
        <v>58</v>
      </c>
      <c r="I308" s="3" t="s">
        <v>59</v>
      </c>
      <c r="J308" s="3" t="s">
        <v>60</v>
      </c>
      <c r="K308" s="3" t="s">
        <v>40</v>
      </c>
      <c r="L308" s="3">
        <v>30</v>
      </c>
      <c r="M308" s="4">
        <v>124081</v>
      </c>
      <c r="N308" s="6">
        <v>0</v>
      </c>
      <c r="O308" s="3">
        <v>82237.84</v>
      </c>
      <c r="P308" s="4">
        <v>3722430</v>
      </c>
      <c r="Q308" s="4">
        <v>3722430</v>
      </c>
      <c r="R308" s="4">
        <v>1255294.8</v>
      </c>
      <c r="S308" s="3" t="s">
        <v>70</v>
      </c>
    </row>
    <row r="309" spans="1:19" ht="15.75" customHeight="1">
      <c r="A309" s="2">
        <v>45525</v>
      </c>
      <c r="B309" s="3">
        <v>2024</v>
      </c>
      <c r="C309" s="3" t="s">
        <v>78</v>
      </c>
      <c r="D309" s="3" t="s">
        <v>73</v>
      </c>
      <c r="E309" s="3" t="s">
        <v>90</v>
      </c>
      <c r="F309" s="3" t="s">
        <v>45</v>
      </c>
      <c r="G309" s="3" t="s">
        <v>164</v>
      </c>
      <c r="H309" s="3" t="s">
        <v>108</v>
      </c>
      <c r="I309" s="3" t="s">
        <v>47</v>
      </c>
      <c r="J309" s="3" t="s">
        <v>110</v>
      </c>
      <c r="K309" s="3" t="s">
        <v>61</v>
      </c>
      <c r="L309" s="3">
        <v>30</v>
      </c>
      <c r="M309" s="4">
        <v>23119</v>
      </c>
      <c r="N309" s="6">
        <v>0.15</v>
      </c>
      <c r="O309" s="3">
        <v>14600.71</v>
      </c>
      <c r="P309" s="4">
        <v>693570</v>
      </c>
      <c r="Q309" s="4">
        <v>589534.5</v>
      </c>
      <c r="R309" s="4">
        <v>151513.20000000001</v>
      </c>
      <c r="S309" s="3" t="s">
        <v>70</v>
      </c>
    </row>
    <row r="310" spans="1:19" ht="15.75" customHeight="1">
      <c r="A310" s="2">
        <v>45545</v>
      </c>
      <c r="B310" s="3">
        <v>2024</v>
      </c>
      <c r="C310" s="3" t="s">
        <v>85</v>
      </c>
      <c r="D310" s="3" t="s">
        <v>73</v>
      </c>
      <c r="E310" s="3" t="s">
        <v>34</v>
      </c>
      <c r="F310" s="3" t="s">
        <v>65</v>
      </c>
      <c r="G310" s="3" t="s">
        <v>177</v>
      </c>
      <c r="H310" s="3" t="s">
        <v>58</v>
      </c>
      <c r="I310" s="3" t="s">
        <v>59</v>
      </c>
      <c r="J310" s="3" t="s">
        <v>60</v>
      </c>
      <c r="K310" s="3" t="s">
        <v>61</v>
      </c>
      <c r="L310" s="3">
        <v>11</v>
      </c>
      <c r="M310" s="4">
        <v>172729</v>
      </c>
      <c r="N310" s="6">
        <v>0.1</v>
      </c>
      <c r="O310" s="3">
        <v>105753.79</v>
      </c>
      <c r="P310" s="4">
        <v>1900019</v>
      </c>
      <c r="Q310" s="4">
        <v>1710017.1</v>
      </c>
      <c r="R310" s="4">
        <v>546725.41</v>
      </c>
      <c r="S310" s="3" t="s">
        <v>149</v>
      </c>
    </row>
    <row r="311" spans="1:19" ht="15.75" customHeight="1">
      <c r="A311" s="2">
        <v>45570</v>
      </c>
      <c r="B311" s="3">
        <v>2024</v>
      </c>
      <c r="C311" s="3" t="s">
        <v>88</v>
      </c>
      <c r="D311" s="3" t="s">
        <v>89</v>
      </c>
      <c r="E311" s="3" t="s">
        <v>34</v>
      </c>
      <c r="F311" s="3" t="s">
        <v>65</v>
      </c>
      <c r="G311" s="3" t="s">
        <v>172</v>
      </c>
      <c r="H311" s="3" t="s">
        <v>108</v>
      </c>
      <c r="I311" s="3" t="s">
        <v>47</v>
      </c>
      <c r="J311" s="3" t="s">
        <v>110</v>
      </c>
      <c r="K311" s="3" t="s">
        <v>105</v>
      </c>
      <c r="L311" s="3">
        <v>12</v>
      </c>
      <c r="M311" s="4">
        <v>64935</v>
      </c>
      <c r="N311" s="6">
        <v>0.05</v>
      </c>
      <c r="O311" s="3">
        <v>34904.43</v>
      </c>
      <c r="P311" s="4">
        <v>779220</v>
      </c>
      <c r="Q311" s="4">
        <v>740259</v>
      </c>
      <c r="R311" s="4">
        <v>321405.84000000003</v>
      </c>
      <c r="S311" s="3" t="s">
        <v>149</v>
      </c>
    </row>
    <row r="312" spans="1:19" ht="15.75" customHeight="1">
      <c r="A312" s="2">
        <v>45619</v>
      </c>
      <c r="B312" s="3">
        <v>2024</v>
      </c>
      <c r="C312" s="3" t="s">
        <v>93</v>
      </c>
      <c r="D312" s="3" t="s">
        <v>89</v>
      </c>
      <c r="E312" s="3" t="s">
        <v>34</v>
      </c>
      <c r="F312" s="3" t="s">
        <v>24</v>
      </c>
      <c r="G312" s="3" t="s">
        <v>152</v>
      </c>
      <c r="H312" s="3" t="s">
        <v>82</v>
      </c>
      <c r="I312" s="3" t="s">
        <v>47</v>
      </c>
      <c r="J312" s="3" t="s">
        <v>83</v>
      </c>
      <c r="K312" s="3" t="s">
        <v>51</v>
      </c>
      <c r="L312" s="3">
        <v>25</v>
      </c>
      <c r="M312" s="4">
        <v>146130</v>
      </c>
      <c r="N312" s="6">
        <v>0.1</v>
      </c>
      <c r="O312" s="3">
        <v>85126.21</v>
      </c>
      <c r="P312" s="4">
        <v>3653250</v>
      </c>
      <c r="Q312" s="4">
        <v>3287925</v>
      </c>
      <c r="R312" s="4">
        <v>1159769.75</v>
      </c>
      <c r="S312" s="3" t="s">
        <v>70</v>
      </c>
    </row>
    <row r="313" spans="1:19" ht="15.75" customHeight="1">
      <c r="A313" s="2">
        <v>45654</v>
      </c>
      <c r="B313" s="3">
        <v>2024</v>
      </c>
      <c r="C313" s="3" t="s">
        <v>99</v>
      </c>
      <c r="D313" s="3" t="s">
        <v>89</v>
      </c>
      <c r="E313" s="3" t="s">
        <v>64</v>
      </c>
      <c r="F313" s="3" t="s">
        <v>147</v>
      </c>
      <c r="G313" s="3" t="s">
        <v>145</v>
      </c>
      <c r="H313" s="3" t="s">
        <v>96</v>
      </c>
      <c r="I313" s="3" t="s">
        <v>38</v>
      </c>
      <c r="J313" s="3" t="s">
        <v>83</v>
      </c>
      <c r="K313" s="3" t="s">
        <v>194</v>
      </c>
      <c r="L313" s="3">
        <v>20</v>
      </c>
      <c r="M313" s="4">
        <v>128983</v>
      </c>
      <c r="N313" s="6">
        <v>0.1</v>
      </c>
      <c r="O313" s="3">
        <v>63349.21</v>
      </c>
      <c r="P313" s="4">
        <v>2579660</v>
      </c>
      <c r="Q313" s="4"/>
      <c r="R313" s="4">
        <v>1054709.8</v>
      </c>
      <c r="S313" s="3" t="s">
        <v>41</v>
      </c>
    </row>
    <row r="314" spans="1:19" ht="15.75" customHeight="1">
      <c r="A314" s="2">
        <v>45317</v>
      </c>
      <c r="B314" s="3">
        <v>2024</v>
      </c>
      <c r="C314" s="3" t="s">
        <v>21</v>
      </c>
      <c r="D314" s="3" t="s">
        <v>22</v>
      </c>
      <c r="E314" s="3" t="s">
        <v>23</v>
      </c>
      <c r="F314" s="3" t="s">
        <v>130</v>
      </c>
      <c r="G314" s="3" t="s">
        <v>155</v>
      </c>
      <c r="H314" s="3" t="s">
        <v>108</v>
      </c>
      <c r="I314" s="3" t="s">
        <v>47</v>
      </c>
      <c r="J314" s="3" t="s">
        <v>110</v>
      </c>
      <c r="K314" s="3" t="s">
        <v>29</v>
      </c>
      <c r="L314" s="3">
        <v>38</v>
      </c>
      <c r="M314" s="4">
        <v>130944</v>
      </c>
      <c r="N314" s="6">
        <v>0.05</v>
      </c>
      <c r="O314" s="3">
        <v>86478.8</v>
      </c>
      <c r="P314" s="4">
        <v>4975872</v>
      </c>
      <c r="Q314" s="4">
        <v>4727078.4000000004</v>
      </c>
      <c r="R314" s="4">
        <v>1440884</v>
      </c>
      <c r="S314" s="3" t="s">
        <v>32</v>
      </c>
    </row>
    <row r="315" spans="1:19" ht="15.75" customHeight="1">
      <c r="A315" s="2">
        <v>45328</v>
      </c>
      <c r="B315" s="3">
        <v>2024</v>
      </c>
      <c r="C315" s="3" t="s">
        <v>33</v>
      </c>
      <c r="D315" s="3" t="s">
        <v>22</v>
      </c>
      <c r="E315" s="3" t="s">
        <v>64</v>
      </c>
      <c r="F315" s="3" t="s">
        <v>45</v>
      </c>
      <c r="G315" s="3" t="s">
        <v>175</v>
      </c>
      <c r="H315" s="3" t="s">
        <v>44</v>
      </c>
      <c r="I315" s="3" t="s">
        <v>59</v>
      </c>
      <c r="J315" s="3" t="s">
        <v>153</v>
      </c>
      <c r="K315" s="3" t="s">
        <v>105</v>
      </c>
      <c r="L315" s="3">
        <v>10</v>
      </c>
      <c r="M315" s="4">
        <v>163543</v>
      </c>
      <c r="N315" s="6">
        <v>0.2</v>
      </c>
      <c r="O315" s="3">
        <v>92547.17</v>
      </c>
      <c r="P315" s="4">
        <v>1635430</v>
      </c>
      <c r="Q315" s="4">
        <v>1308344</v>
      </c>
      <c r="R315" s="4">
        <v>382872.3</v>
      </c>
      <c r="S315" s="3" t="s">
        <v>32</v>
      </c>
    </row>
    <row r="316" spans="1:19" ht="15.75" customHeight="1">
      <c r="A316" s="2">
        <v>45374</v>
      </c>
      <c r="B316" s="3">
        <v>2024</v>
      </c>
      <c r="C316" s="3" t="s">
        <v>42</v>
      </c>
      <c r="D316" s="3" t="s">
        <v>22</v>
      </c>
      <c r="E316" s="3" t="s">
        <v>90</v>
      </c>
      <c r="F316" s="3" t="s">
        <v>132</v>
      </c>
      <c r="G316" s="3" t="s">
        <v>46</v>
      </c>
      <c r="H316" s="3" t="s">
        <v>26</v>
      </c>
      <c r="I316" s="3" t="s">
        <v>122</v>
      </c>
      <c r="J316" s="3" t="s">
        <v>28</v>
      </c>
      <c r="K316" s="3" t="s">
        <v>67</v>
      </c>
      <c r="L316" s="3">
        <v>38</v>
      </c>
      <c r="M316" s="4">
        <v>21395</v>
      </c>
      <c r="N316" s="6">
        <v>0.2</v>
      </c>
      <c r="O316" s="3">
        <v>12045.12</v>
      </c>
      <c r="P316" s="4">
        <v>813010</v>
      </c>
      <c r="Q316" s="4">
        <v>650408</v>
      </c>
      <c r="R316" s="4">
        <v>192693.44</v>
      </c>
      <c r="S316" s="3" t="s">
        <v>70</v>
      </c>
    </row>
    <row r="317" spans="1:19" ht="15.75" customHeight="1">
      <c r="A317" s="2">
        <v>45386</v>
      </c>
      <c r="B317" s="3">
        <v>2024</v>
      </c>
      <c r="C317" s="3" t="s">
        <v>53</v>
      </c>
      <c r="D317" s="3" t="s">
        <v>54</v>
      </c>
      <c r="E317" s="3" t="s">
        <v>90</v>
      </c>
      <c r="F317" s="3" t="s">
        <v>80</v>
      </c>
      <c r="G317" s="3" t="s">
        <v>121</v>
      </c>
      <c r="H317" s="3" t="s">
        <v>96</v>
      </c>
      <c r="I317" s="3" t="s">
        <v>59</v>
      </c>
      <c r="J317" s="3" t="s">
        <v>83</v>
      </c>
      <c r="K317" s="3" t="s">
        <v>61</v>
      </c>
      <c r="L317" s="3">
        <v>34</v>
      </c>
      <c r="M317" s="4">
        <v>66801</v>
      </c>
      <c r="N317" s="6">
        <v>0.05</v>
      </c>
      <c r="O317" s="3">
        <v>43419.21</v>
      </c>
      <c r="P317" s="4">
        <v>2271234</v>
      </c>
      <c r="Q317" s="4">
        <v>2157672.2999999998</v>
      </c>
      <c r="R317" s="4">
        <v>681419.16</v>
      </c>
      <c r="S317" s="3" t="s">
        <v>149</v>
      </c>
    </row>
    <row r="318" spans="1:19" ht="15.75" customHeight="1">
      <c r="A318" s="2">
        <v>45426</v>
      </c>
      <c r="B318" s="3">
        <v>2024</v>
      </c>
      <c r="C318" s="3" t="s">
        <v>63</v>
      </c>
      <c r="D318" s="3" t="s">
        <v>54</v>
      </c>
      <c r="E318" s="3" t="s">
        <v>79</v>
      </c>
      <c r="F318" s="3" t="s">
        <v>80</v>
      </c>
      <c r="G318" s="3" t="s">
        <v>121</v>
      </c>
      <c r="H318" s="3" t="s">
        <v>112</v>
      </c>
      <c r="I318" s="3" t="s">
        <v>122</v>
      </c>
      <c r="J318" s="3" t="s">
        <v>114</v>
      </c>
      <c r="K318" s="3" t="s">
        <v>51</v>
      </c>
      <c r="L318" s="3">
        <v>40</v>
      </c>
      <c r="M318" s="4">
        <v>46003</v>
      </c>
      <c r="N318" s="6">
        <v>0.12</v>
      </c>
      <c r="O318" s="3">
        <v>29069.16</v>
      </c>
      <c r="P318" s="4">
        <v>1840120</v>
      </c>
      <c r="Q318" s="4">
        <v>1619305.6</v>
      </c>
      <c r="R318" s="4">
        <v>456539.2</v>
      </c>
      <c r="S318" s="3" t="s">
        <v>149</v>
      </c>
    </row>
    <row r="319" spans="1:19" ht="15.75" customHeight="1">
      <c r="A319" s="2">
        <v>45444</v>
      </c>
      <c r="B319" s="3">
        <v>2024</v>
      </c>
      <c r="C319" s="3" t="s">
        <v>68</v>
      </c>
      <c r="D319" s="3" t="s">
        <v>54</v>
      </c>
      <c r="E319" s="3" t="s">
        <v>23</v>
      </c>
      <c r="F319" s="3" t="s">
        <v>165</v>
      </c>
      <c r="G319" s="3" t="s">
        <v>131</v>
      </c>
      <c r="H319" s="3" t="s">
        <v>58</v>
      </c>
      <c r="I319" s="3" t="s">
        <v>47</v>
      </c>
      <c r="J319" s="3" t="s">
        <v>60</v>
      </c>
      <c r="K319" s="3" t="s">
        <v>67</v>
      </c>
      <c r="L319" s="3">
        <v>14</v>
      </c>
      <c r="M319" s="4">
        <v>120693</v>
      </c>
      <c r="N319" s="6"/>
      <c r="O319" s="3">
        <v>69081.960000000006</v>
      </c>
      <c r="P319" s="4">
        <v>1689702</v>
      </c>
      <c r="Q319" s="4">
        <v>1689702</v>
      </c>
      <c r="R319" s="4">
        <v>722554.56</v>
      </c>
      <c r="S319" s="3" t="s">
        <v>149</v>
      </c>
    </row>
    <row r="320" spans="1:19" ht="15.75" customHeight="1">
      <c r="A320" s="2">
        <v>45483</v>
      </c>
      <c r="B320" s="3">
        <v>2024</v>
      </c>
      <c r="C320" s="3" t="s">
        <v>72</v>
      </c>
      <c r="D320" s="3" t="s">
        <v>73</v>
      </c>
      <c r="E320" s="3" t="s">
        <v>79</v>
      </c>
      <c r="F320" s="3" t="s">
        <v>130</v>
      </c>
      <c r="G320" s="3" t="s">
        <v>186</v>
      </c>
      <c r="H320" s="3" t="s">
        <v>112</v>
      </c>
      <c r="I320" s="3" t="s">
        <v>113</v>
      </c>
      <c r="J320" s="3" t="s">
        <v>114</v>
      </c>
      <c r="K320" s="3" t="s">
        <v>105</v>
      </c>
      <c r="L320" s="3">
        <v>22</v>
      </c>
      <c r="M320" s="4">
        <v>161139</v>
      </c>
      <c r="N320" s="6">
        <v>0</v>
      </c>
      <c r="O320" s="3">
        <v>119438.64</v>
      </c>
      <c r="P320" s="4">
        <v>3545058</v>
      </c>
      <c r="Q320" s="4">
        <v>3545058</v>
      </c>
      <c r="R320" s="4">
        <v>917407.92</v>
      </c>
      <c r="S320" s="3" t="s">
        <v>41</v>
      </c>
    </row>
    <row r="321" spans="1:19" ht="15.75" customHeight="1">
      <c r="A321" s="2">
        <v>45509</v>
      </c>
      <c r="B321" s="3">
        <v>2024</v>
      </c>
      <c r="C321" s="3" t="s">
        <v>78</v>
      </c>
      <c r="D321" s="3" t="s">
        <v>73</v>
      </c>
      <c r="E321" s="3" t="s">
        <v>34</v>
      </c>
      <c r="F321" s="3" t="s">
        <v>147</v>
      </c>
      <c r="G321" s="3" t="s">
        <v>46</v>
      </c>
      <c r="H321" s="3" t="s">
        <v>26</v>
      </c>
      <c r="I321" s="3" t="s">
        <v>27</v>
      </c>
      <c r="J321" s="3" t="s">
        <v>28</v>
      </c>
      <c r="K321" s="3" t="s">
        <v>40</v>
      </c>
      <c r="L321" s="3">
        <v>35</v>
      </c>
      <c r="M321" s="4">
        <v>133233</v>
      </c>
      <c r="N321" s="6">
        <v>0.08</v>
      </c>
      <c r="O321" s="3">
        <v>103219.13</v>
      </c>
      <c r="P321" s="4">
        <v>4663155</v>
      </c>
      <c r="Q321" s="4">
        <v>4290102.5999999996</v>
      </c>
      <c r="R321" s="4">
        <v>677433.05</v>
      </c>
      <c r="S321" s="3" t="s">
        <v>32</v>
      </c>
    </row>
    <row r="322" spans="1:19" ht="15.75" customHeight="1">
      <c r="A322" s="2">
        <v>45542</v>
      </c>
      <c r="B322" s="3">
        <v>2024</v>
      </c>
      <c r="C322" s="3" t="s">
        <v>85</v>
      </c>
      <c r="D322" s="3" t="s">
        <v>73</v>
      </c>
      <c r="E322" s="3" t="s">
        <v>79</v>
      </c>
      <c r="F322" s="3" t="s">
        <v>24</v>
      </c>
      <c r="G322" s="3" t="s">
        <v>127</v>
      </c>
      <c r="H322" s="3" t="s">
        <v>44</v>
      </c>
      <c r="I322" s="3" t="s">
        <v>38</v>
      </c>
      <c r="J322" s="3" t="s">
        <v>153</v>
      </c>
      <c r="K322" s="3" t="s">
        <v>105</v>
      </c>
      <c r="L322" s="3">
        <v>10</v>
      </c>
      <c r="M322" s="4">
        <v>20171</v>
      </c>
      <c r="N322" s="6">
        <v>0.08</v>
      </c>
      <c r="O322" s="3">
        <v>13500.02</v>
      </c>
      <c r="P322" s="4">
        <v>201710</v>
      </c>
      <c r="Q322" s="4">
        <v>185573.2</v>
      </c>
      <c r="R322" s="4">
        <v>50573</v>
      </c>
      <c r="S322" s="3" t="s">
        <v>41</v>
      </c>
    </row>
    <row r="323" spans="1:19" ht="15.75" customHeight="1">
      <c r="A323" s="2">
        <v>45593</v>
      </c>
      <c r="B323" s="3">
        <v>2024</v>
      </c>
      <c r="C323" s="3" t="s">
        <v>88</v>
      </c>
      <c r="D323" s="3" t="s">
        <v>89</v>
      </c>
      <c r="E323" s="3" t="s">
        <v>55</v>
      </c>
      <c r="F323" s="3" t="s">
        <v>101</v>
      </c>
      <c r="G323" s="3" t="s">
        <v>66</v>
      </c>
      <c r="H323" s="3" t="s">
        <v>37</v>
      </c>
      <c r="I323" s="3" t="s">
        <v>47</v>
      </c>
      <c r="J323" s="3" t="s">
        <v>39</v>
      </c>
      <c r="K323" s="3" t="s">
        <v>61</v>
      </c>
      <c r="L323" s="3">
        <v>6</v>
      </c>
      <c r="M323" s="4">
        <v>74296</v>
      </c>
      <c r="N323" s="6">
        <v>0.2</v>
      </c>
      <c r="O323" s="3">
        <v>39053.61</v>
      </c>
      <c r="P323" s="4">
        <v>445776</v>
      </c>
      <c r="Q323" s="4">
        <v>356620.79999999999</v>
      </c>
      <c r="R323" s="4">
        <v>122299.14</v>
      </c>
      <c r="S323" s="3" t="s">
        <v>62</v>
      </c>
    </row>
    <row r="324" spans="1:19" ht="15.75" customHeight="1">
      <c r="A324" s="2">
        <v>45613</v>
      </c>
      <c r="B324" s="3">
        <v>2024</v>
      </c>
      <c r="C324" s="3" t="s">
        <v>93</v>
      </c>
      <c r="D324" s="3" t="s">
        <v>89</v>
      </c>
      <c r="E324" s="3" t="s">
        <v>23</v>
      </c>
      <c r="F324" s="3" t="s">
        <v>91</v>
      </c>
      <c r="G324" s="3" t="s">
        <v>195</v>
      </c>
      <c r="H324" s="3" t="s">
        <v>75</v>
      </c>
      <c r="I324" s="3" t="s">
        <v>59</v>
      </c>
      <c r="J324" s="3" t="s">
        <v>76</v>
      </c>
      <c r="K324" s="3" t="s">
        <v>84</v>
      </c>
      <c r="L324" s="3">
        <v>31</v>
      </c>
      <c r="M324" s="4">
        <v>149265</v>
      </c>
      <c r="N324" s="6"/>
      <c r="O324" s="3">
        <v>74655.38</v>
      </c>
      <c r="P324" s="4">
        <v>4627215</v>
      </c>
      <c r="Q324" s="4">
        <v>4627215</v>
      </c>
      <c r="R324" s="4">
        <v>2312898.2200000002</v>
      </c>
      <c r="S324" s="3" t="s">
        <v>32</v>
      </c>
    </row>
    <row r="325" spans="1:19" ht="15.75" customHeight="1">
      <c r="A325" s="2">
        <v>45641</v>
      </c>
      <c r="B325" s="3">
        <v>2024</v>
      </c>
      <c r="C325" s="3" t="s">
        <v>99</v>
      </c>
      <c r="D325" s="3" t="s">
        <v>89</v>
      </c>
      <c r="E325" s="3" t="s">
        <v>34</v>
      </c>
      <c r="F325" s="3" t="s">
        <v>95</v>
      </c>
      <c r="G325" s="3" t="s">
        <v>81</v>
      </c>
      <c r="H325" s="3" t="s">
        <v>44</v>
      </c>
      <c r="I325" s="3" t="s">
        <v>38</v>
      </c>
      <c r="J325" s="3" t="s">
        <v>153</v>
      </c>
      <c r="K325" s="3" t="s">
        <v>105</v>
      </c>
      <c r="L325" s="3">
        <v>20</v>
      </c>
      <c r="M325" s="4">
        <v>167788</v>
      </c>
      <c r="N325" s="6"/>
      <c r="O325" s="3">
        <v>102922.26</v>
      </c>
      <c r="P325" s="4">
        <v>3355760</v>
      </c>
      <c r="Q325" s="4">
        <v>3355760</v>
      </c>
      <c r="R325" s="4">
        <v>1297314.8</v>
      </c>
      <c r="S325" s="3" t="s">
        <v>32</v>
      </c>
    </row>
    <row r="326" spans="1:19" ht="15.75" customHeight="1">
      <c r="A326" s="2">
        <v>45298</v>
      </c>
      <c r="B326" s="3">
        <v>2024</v>
      </c>
      <c r="C326" s="3" t="s">
        <v>21</v>
      </c>
      <c r="D326" s="3" t="s">
        <v>22</v>
      </c>
      <c r="E326" s="3" t="s">
        <v>55</v>
      </c>
      <c r="F326" s="3" t="s">
        <v>115</v>
      </c>
      <c r="G326" s="3" t="s">
        <v>177</v>
      </c>
      <c r="H326" s="3" t="s">
        <v>26</v>
      </c>
      <c r="I326" s="3" t="s">
        <v>27</v>
      </c>
      <c r="J326" s="3" t="s">
        <v>28</v>
      </c>
      <c r="K326" s="3" t="s">
        <v>84</v>
      </c>
      <c r="L326" s="3">
        <v>35</v>
      </c>
      <c r="M326" s="4">
        <v>127635</v>
      </c>
      <c r="N326" s="6">
        <v>0.2</v>
      </c>
      <c r="O326" s="3">
        <v>64106.239999999998</v>
      </c>
      <c r="P326" s="4">
        <v>4467225</v>
      </c>
      <c r="Q326" s="4">
        <v>3573780</v>
      </c>
      <c r="R326" s="4">
        <v>1330061.6000000001</v>
      </c>
      <c r="S326" s="3" t="s">
        <v>62</v>
      </c>
    </row>
    <row r="327" spans="1:19" ht="15.75" customHeight="1">
      <c r="A327" s="2">
        <v>45340</v>
      </c>
      <c r="B327" s="3">
        <v>2024</v>
      </c>
      <c r="C327" s="3" t="s">
        <v>33</v>
      </c>
      <c r="D327" s="3" t="s">
        <v>22</v>
      </c>
      <c r="E327" s="3" t="s">
        <v>55</v>
      </c>
      <c r="F327" s="3" t="s">
        <v>86</v>
      </c>
      <c r="G327" s="3" t="s">
        <v>177</v>
      </c>
      <c r="H327" s="3" t="s">
        <v>120</v>
      </c>
      <c r="I327" s="3" t="s">
        <v>113</v>
      </c>
      <c r="J327" s="3" t="s">
        <v>114</v>
      </c>
      <c r="K327" s="3" t="s">
        <v>51</v>
      </c>
      <c r="L327" s="3">
        <v>16</v>
      </c>
      <c r="M327" s="4">
        <v>93625</v>
      </c>
      <c r="N327" s="6"/>
      <c r="O327" s="3">
        <v>59845.29</v>
      </c>
      <c r="P327" s="4">
        <v>1498000</v>
      </c>
      <c r="Q327" s="4">
        <v>1498000</v>
      </c>
      <c r="R327" s="4">
        <v>540475.36</v>
      </c>
      <c r="S327" s="3" t="s">
        <v>32</v>
      </c>
    </row>
    <row r="328" spans="1:19" ht="15.75" customHeight="1">
      <c r="A328" s="2">
        <v>45365</v>
      </c>
      <c r="B328" s="3">
        <v>2024</v>
      </c>
      <c r="C328" s="3" t="s">
        <v>42</v>
      </c>
      <c r="D328" s="3" t="s">
        <v>22</v>
      </c>
      <c r="E328" s="3" t="s">
        <v>34</v>
      </c>
      <c r="F328" s="3" t="s">
        <v>147</v>
      </c>
      <c r="G328" s="3" t="s">
        <v>172</v>
      </c>
      <c r="H328" s="3" t="s">
        <v>82</v>
      </c>
      <c r="I328" s="3" t="s">
        <v>47</v>
      </c>
      <c r="J328" s="3" t="s">
        <v>83</v>
      </c>
      <c r="K328" s="3" t="s">
        <v>51</v>
      </c>
      <c r="L328" s="3">
        <v>23</v>
      </c>
      <c r="M328" s="4">
        <v>63943</v>
      </c>
      <c r="N328" s="6">
        <v>0.05</v>
      </c>
      <c r="O328" s="3">
        <v>50565.4</v>
      </c>
      <c r="P328" s="4">
        <v>1470689</v>
      </c>
      <c r="Q328" s="4">
        <v>1397154.55</v>
      </c>
      <c r="R328" s="4">
        <v>234150.35</v>
      </c>
      <c r="S328" s="3" t="s">
        <v>70</v>
      </c>
    </row>
    <row r="329" spans="1:19" ht="15.75" customHeight="1">
      <c r="A329" s="2">
        <v>45392</v>
      </c>
      <c r="B329" s="3">
        <v>2024</v>
      </c>
      <c r="C329" s="3" t="s">
        <v>53</v>
      </c>
      <c r="D329" s="3" t="s">
        <v>54</v>
      </c>
      <c r="E329" s="3" t="s">
        <v>90</v>
      </c>
      <c r="F329" s="3" t="s">
        <v>95</v>
      </c>
      <c r="G329" s="3" t="s">
        <v>154</v>
      </c>
      <c r="H329" s="3" t="s">
        <v>75</v>
      </c>
      <c r="I329" s="3" t="s">
        <v>38</v>
      </c>
      <c r="J329" s="3" t="s">
        <v>76</v>
      </c>
      <c r="K329" s="3" t="s">
        <v>61</v>
      </c>
      <c r="L329" s="3">
        <v>15</v>
      </c>
      <c r="M329" s="4">
        <v>49675</v>
      </c>
      <c r="N329" s="6">
        <v>0.2</v>
      </c>
      <c r="O329" s="3">
        <v>38224.99</v>
      </c>
      <c r="P329" s="4">
        <v>745125</v>
      </c>
      <c r="Q329" s="4">
        <v>596100</v>
      </c>
      <c r="R329" s="4">
        <v>22725.15</v>
      </c>
      <c r="S329" s="3" t="s">
        <v>70</v>
      </c>
    </row>
    <row r="330" spans="1:19" ht="15.75" customHeight="1">
      <c r="A330" s="2">
        <v>45428</v>
      </c>
      <c r="B330" s="3">
        <v>2024</v>
      </c>
      <c r="C330" s="3" t="s">
        <v>63</v>
      </c>
      <c r="D330" s="3" t="s">
        <v>54</v>
      </c>
      <c r="E330" s="3" t="s">
        <v>23</v>
      </c>
      <c r="F330" s="3" t="s">
        <v>165</v>
      </c>
      <c r="G330" s="3" t="s">
        <v>81</v>
      </c>
      <c r="H330" s="3" t="s">
        <v>75</v>
      </c>
      <c r="I330" s="3" t="s">
        <v>59</v>
      </c>
      <c r="J330" s="3" t="s">
        <v>76</v>
      </c>
      <c r="K330" s="3" t="s">
        <v>84</v>
      </c>
      <c r="L330" s="3">
        <v>31</v>
      </c>
      <c r="M330" s="4">
        <v>56774</v>
      </c>
      <c r="N330" s="6"/>
      <c r="O330" s="3">
        <v>37559.07</v>
      </c>
      <c r="P330" s="4">
        <v>1759994</v>
      </c>
      <c r="Q330" s="4">
        <v>1759994</v>
      </c>
      <c r="R330" s="4">
        <v>595662.82999999996</v>
      </c>
      <c r="S330" s="3" t="s">
        <v>41</v>
      </c>
    </row>
    <row r="331" spans="1:19" ht="15.75" customHeight="1">
      <c r="A331" s="2">
        <v>45446</v>
      </c>
      <c r="B331" s="3">
        <v>2024</v>
      </c>
      <c r="C331" s="3" t="s">
        <v>68</v>
      </c>
      <c r="D331" s="3" t="s">
        <v>54</v>
      </c>
      <c r="E331" s="3" t="s">
        <v>43</v>
      </c>
      <c r="F331" s="3" t="s">
        <v>80</v>
      </c>
      <c r="G331" s="3" t="s">
        <v>184</v>
      </c>
      <c r="H331" s="3" t="s">
        <v>26</v>
      </c>
      <c r="I331" s="3" t="s">
        <v>27</v>
      </c>
      <c r="J331" s="3" t="s">
        <v>28</v>
      </c>
      <c r="K331" s="3" t="s">
        <v>51</v>
      </c>
      <c r="L331" s="3">
        <v>27</v>
      </c>
      <c r="M331" s="4">
        <v>75882</v>
      </c>
      <c r="N331" s="6">
        <v>0.12</v>
      </c>
      <c r="O331" s="3">
        <v>44340.57</v>
      </c>
      <c r="P331" s="4">
        <v>2048814</v>
      </c>
      <c r="Q331" s="4">
        <v>1802956.32</v>
      </c>
      <c r="R331" s="4">
        <v>605760.93000000005</v>
      </c>
      <c r="S331" s="3" t="s">
        <v>62</v>
      </c>
    </row>
    <row r="332" spans="1:19" ht="15.75" customHeight="1">
      <c r="A332" s="2">
        <v>45491</v>
      </c>
      <c r="B332" s="3">
        <v>2024</v>
      </c>
      <c r="C332" s="3" t="s">
        <v>72</v>
      </c>
      <c r="D332" s="3" t="s">
        <v>73</v>
      </c>
      <c r="E332" s="3" t="s">
        <v>90</v>
      </c>
      <c r="F332" s="3" t="s">
        <v>115</v>
      </c>
      <c r="G332" s="3" t="s">
        <v>139</v>
      </c>
      <c r="H332" s="3" t="s">
        <v>120</v>
      </c>
      <c r="I332" s="3" t="s">
        <v>113</v>
      </c>
      <c r="J332" s="3" t="s">
        <v>114</v>
      </c>
      <c r="K332" s="3" t="s">
        <v>67</v>
      </c>
      <c r="L332" s="3">
        <v>37</v>
      </c>
      <c r="M332" s="4">
        <v>41969</v>
      </c>
      <c r="N332" s="6">
        <v>0.12</v>
      </c>
      <c r="O332" s="3">
        <v>23665.58</v>
      </c>
      <c r="P332" s="4">
        <v>1552853</v>
      </c>
      <c r="Q332" s="4">
        <v>1366510.64</v>
      </c>
      <c r="R332" s="4">
        <v>490884.18</v>
      </c>
      <c r="S332" s="3" t="s">
        <v>32</v>
      </c>
    </row>
    <row r="333" spans="1:19" ht="15.75" customHeight="1">
      <c r="A333" s="2">
        <v>45531</v>
      </c>
      <c r="B333" s="3">
        <v>2024</v>
      </c>
      <c r="C333" s="3" t="s">
        <v>78</v>
      </c>
      <c r="D333" s="3" t="s">
        <v>73</v>
      </c>
      <c r="E333" s="3" t="s">
        <v>79</v>
      </c>
      <c r="F333" s="3" t="s">
        <v>65</v>
      </c>
      <c r="G333" s="3" t="s">
        <v>137</v>
      </c>
      <c r="H333" s="3" t="s">
        <v>26</v>
      </c>
      <c r="I333" s="3" t="s">
        <v>113</v>
      </c>
      <c r="J333" s="3" t="s">
        <v>28</v>
      </c>
      <c r="K333" s="3" t="s">
        <v>67</v>
      </c>
      <c r="L333" s="3">
        <v>4</v>
      </c>
      <c r="M333" s="4">
        <v>48416</v>
      </c>
      <c r="N333" s="6">
        <v>0</v>
      </c>
      <c r="O333" s="3">
        <v>34616.339999999997</v>
      </c>
      <c r="P333" s="4">
        <v>193664</v>
      </c>
      <c r="Q333" s="4">
        <v>193664</v>
      </c>
      <c r="R333" s="4">
        <v>55198.64</v>
      </c>
      <c r="S333" s="3" t="s">
        <v>149</v>
      </c>
    </row>
    <row r="334" spans="1:19" ht="15.75" customHeight="1">
      <c r="A334" s="2">
        <v>45557</v>
      </c>
      <c r="B334" s="3">
        <v>2024</v>
      </c>
      <c r="C334" s="3" t="s">
        <v>85</v>
      </c>
      <c r="D334" s="3" t="s">
        <v>73</v>
      </c>
      <c r="E334" s="3" t="s">
        <v>55</v>
      </c>
      <c r="F334" s="3" t="s">
        <v>80</v>
      </c>
      <c r="G334" s="3" t="s">
        <v>166</v>
      </c>
      <c r="H334" s="3" t="s">
        <v>58</v>
      </c>
      <c r="I334" s="3" t="s">
        <v>59</v>
      </c>
      <c r="J334" s="3" t="s">
        <v>60</v>
      </c>
      <c r="K334" s="3" t="s">
        <v>67</v>
      </c>
      <c r="L334" s="3">
        <v>23</v>
      </c>
      <c r="M334" s="4">
        <v>659032</v>
      </c>
      <c r="N334" s="6"/>
      <c r="O334" s="3">
        <v>492081.31</v>
      </c>
      <c r="P334" s="4">
        <v>15157736</v>
      </c>
      <c r="Q334" s="4">
        <v>13945117.119999999</v>
      </c>
      <c r="R334" s="4">
        <v>2627246.9900000002</v>
      </c>
      <c r="S334" s="3" t="s">
        <v>62</v>
      </c>
    </row>
    <row r="335" spans="1:19" ht="15.75" customHeight="1">
      <c r="A335" s="2">
        <v>45569</v>
      </c>
      <c r="B335" s="3">
        <v>2024</v>
      </c>
      <c r="C335" s="3" t="s">
        <v>88</v>
      </c>
      <c r="D335" s="3" t="s">
        <v>89</v>
      </c>
      <c r="E335" s="3" t="s">
        <v>43</v>
      </c>
      <c r="F335" s="3" t="s">
        <v>86</v>
      </c>
      <c r="G335" s="3" t="s">
        <v>155</v>
      </c>
      <c r="H335" s="3" t="s">
        <v>120</v>
      </c>
      <c r="I335" s="3" t="s">
        <v>122</v>
      </c>
      <c r="J335" s="3" t="s">
        <v>114</v>
      </c>
      <c r="K335" s="3" t="s">
        <v>61</v>
      </c>
      <c r="L335" s="3">
        <v>38</v>
      </c>
      <c r="M335" s="4">
        <v>95395</v>
      </c>
      <c r="N335" s="6">
        <v>0.08</v>
      </c>
      <c r="O335" s="3">
        <v>55667.54</v>
      </c>
      <c r="P335" s="4">
        <v>3625010</v>
      </c>
      <c r="Q335" s="4">
        <v>3335009.2</v>
      </c>
      <c r="R335" s="4">
        <v>1219642.68</v>
      </c>
      <c r="S335" s="3" t="s">
        <v>52</v>
      </c>
    </row>
    <row r="336" spans="1:19" ht="15.75" customHeight="1">
      <c r="A336" s="2">
        <v>45601</v>
      </c>
      <c r="B336" s="3">
        <v>2024</v>
      </c>
      <c r="C336" s="3" t="s">
        <v>93</v>
      </c>
      <c r="D336" s="3" t="s">
        <v>89</v>
      </c>
      <c r="E336" s="3" t="s">
        <v>55</v>
      </c>
      <c r="F336" s="3" t="s">
        <v>101</v>
      </c>
      <c r="G336" s="3" t="s">
        <v>187</v>
      </c>
      <c r="H336" s="3" t="s">
        <v>102</v>
      </c>
      <c r="I336" s="3" t="s">
        <v>49</v>
      </c>
      <c r="J336" s="3" t="s">
        <v>104</v>
      </c>
      <c r="K336" s="3" t="s">
        <v>105</v>
      </c>
      <c r="L336" s="3">
        <v>5</v>
      </c>
      <c r="M336" s="4">
        <v>49747</v>
      </c>
      <c r="N336" s="6">
        <v>0.12</v>
      </c>
      <c r="O336" s="3">
        <v>33841.61</v>
      </c>
      <c r="P336" s="4">
        <v>248735</v>
      </c>
      <c r="Q336" s="4">
        <v>218886.8</v>
      </c>
      <c r="R336" s="4">
        <v>49678.75</v>
      </c>
      <c r="S336" s="3" t="s">
        <v>41</v>
      </c>
    </row>
    <row r="337" spans="1:19" ht="15.75" customHeight="1">
      <c r="A337" s="2">
        <v>45640</v>
      </c>
      <c r="B337" s="3">
        <v>2024</v>
      </c>
      <c r="C337" s="3" t="s">
        <v>99</v>
      </c>
      <c r="D337" s="3" t="s">
        <v>89</v>
      </c>
      <c r="E337" s="3" t="s">
        <v>79</v>
      </c>
      <c r="F337" s="3" t="s">
        <v>35</v>
      </c>
      <c r="G337" s="3" t="s">
        <v>100</v>
      </c>
      <c r="H337" s="3" t="s">
        <v>48</v>
      </c>
      <c r="I337" s="3" t="s">
        <v>103</v>
      </c>
      <c r="J337" s="3" t="s">
        <v>50</v>
      </c>
      <c r="K337" s="3" t="s">
        <v>61</v>
      </c>
      <c r="L337" s="3">
        <v>36</v>
      </c>
      <c r="M337" s="4">
        <v>112850</v>
      </c>
      <c r="N337" s="6">
        <v>0.1</v>
      </c>
      <c r="O337" s="3">
        <v>67559.929999999993</v>
      </c>
      <c r="P337" s="4">
        <v>4062600</v>
      </c>
      <c r="Q337" s="4">
        <v>3656340</v>
      </c>
      <c r="R337" s="4">
        <v>1224182.52</v>
      </c>
      <c r="S337" s="3" t="s">
        <v>32</v>
      </c>
    </row>
    <row r="338" spans="1:19" ht="15.75" customHeight="1">
      <c r="A338" s="2">
        <v>45310</v>
      </c>
      <c r="B338" s="3">
        <v>2024</v>
      </c>
      <c r="C338" s="3" t="s">
        <v>21</v>
      </c>
      <c r="D338" s="3" t="s">
        <v>22</v>
      </c>
      <c r="E338" s="3" t="s">
        <v>55</v>
      </c>
      <c r="F338" s="3" t="s">
        <v>56</v>
      </c>
      <c r="G338" s="3" t="s">
        <v>156</v>
      </c>
      <c r="H338" s="3" t="s">
        <v>108</v>
      </c>
      <c r="I338" s="3" t="s">
        <v>59</v>
      </c>
      <c r="J338" s="3" t="s">
        <v>110</v>
      </c>
      <c r="K338" s="3" t="s">
        <v>67</v>
      </c>
      <c r="L338" s="3">
        <v>24</v>
      </c>
      <c r="M338" s="4">
        <v>138230</v>
      </c>
      <c r="N338" s="6">
        <v>0.05</v>
      </c>
      <c r="O338" s="3">
        <v>69077.759999999995</v>
      </c>
      <c r="P338" s="4">
        <v>3317520</v>
      </c>
      <c r="Q338" s="4">
        <v>3151644</v>
      </c>
      <c r="R338" s="4">
        <v>1493777.76</v>
      </c>
      <c r="S338" s="3" t="s">
        <v>149</v>
      </c>
    </row>
    <row r="339" spans="1:19" ht="15.75" customHeight="1">
      <c r="A339" s="2">
        <v>45339</v>
      </c>
      <c r="B339" s="3">
        <v>2024</v>
      </c>
      <c r="C339" s="3" t="s">
        <v>33</v>
      </c>
      <c r="D339" s="3" t="s">
        <v>22</v>
      </c>
      <c r="E339" s="3" t="s">
        <v>79</v>
      </c>
      <c r="F339" s="3" t="s">
        <v>56</v>
      </c>
      <c r="G339" s="3" t="s">
        <v>180</v>
      </c>
      <c r="H339" s="3" t="s">
        <v>82</v>
      </c>
      <c r="I339" s="3" t="s">
        <v>38</v>
      </c>
      <c r="J339" s="3" t="s">
        <v>83</v>
      </c>
      <c r="K339" s="3" t="s">
        <v>183</v>
      </c>
      <c r="L339" s="3">
        <v>5</v>
      </c>
      <c r="M339" s="4">
        <v>153347</v>
      </c>
      <c r="N339" s="6">
        <v>0.2</v>
      </c>
      <c r="O339" s="3">
        <v>101908.85</v>
      </c>
      <c r="P339" s="4">
        <v>766735</v>
      </c>
      <c r="Q339" s="4">
        <v>613388</v>
      </c>
      <c r="R339" s="4">
        <v>103843.75</v>
      </c>
      <c r="S339" s="3" t="s">
        <v>62</v>
      </c>
    </row>
    <row r="340" spans="1:19" ht="15.75" customHeight="1">
      <c r="A340" s="2">
        <v>45363</v>
      </c>
      <c r="B340" s="3">
        <v>2024</v>
      </c>
      <c r="C340" s="3" t="s">
        <v>42</v>
      </c>
      <c r="D340" s="3" t="s">
        <v>22</v>
      </c>
      <c r="E340" s="3" t="s">
        <v>43</v>
      </c>
      <c r="F340" s="3" t="s">
        <v>80</v>
      </c>
      <c r="G340" s="3" t="s">
        <v>174</v>
      </c>
      <c r="H340" s="3" t="s">
        <v>102</v>
      </c>
      <c r="I340" s="3" t="s">
        <v>103</v>
      </c>
      <c r="J340" s="3" t="s">
        <v>104</v>
      </c>
      <c r="K340" s="3" t="s">
        <v>105</v>
      </c>
      <c r="L340" s="3">
        <v>39</v>
      </c>
      <c r="M340" s="4">
        <v>159772</v>
      </c>
      <c r="N340" s="6">
        <v>0.12</v>
      </c>
      <c r="O340" s="3">
        <v>104227.17</v>
      </c>
      <c r="P340" s="4">
        <v>6231108</v>
      </c>
      <c r="Q340" s="4">
        <v>5483375.04</v>
      </c>
      <c r="R340" s="4">
        <v>1418515.41</v>
      </c>
      <c r="S340" s="3" t="s">
        <v>52</v>
      </c>
    </row>
    <row r="341" spans="1:19" ht="15.75" customHeight="1">
      <c r="A341" s="2">
        <v>45385</v>
      </c>
      <c r="B341" s="3">
        <v>2024</v>
      </c>
      <c r="C341" s="3" t="s">
        <v>53</v>
      </c>
      <c r="D341" s="3" t="s">
        <v>54</v>
      </c>
      <c r="E341" s="3" t="s">
        <v>64</v>
      </c>
      <c r="F341" s="3" t="s">
        <v>132</v>
      </c>
      <c r="G341" s="3" t="s">
        <v>36</v>
      </c>
      <c r="H341" s="3" t="s">
        <v>75</v>
      </c>
      <c r="I341" s="3" t="s">
        <v>47</v>
      </c>
      <c r="J341" s="3" t="s">
        <v>76</v>
      </c>
      <c r="K341" s="3" t="s">
        <v>84</v>
      </c>
      <c r="L341" s="3">
        <v>9</v>
      </c>
      <c r="M341" s="4">
        <v>84146</v>
      </c>
      <c r="N341" s="6">
        <v>0</v>
      </c>
      <c r="O341" s="3">
        <v>59701.599999999999</v>
      </c>
      <c r="P341" s="4">
        <v>757314</v>
      </c>
      <c r="Q341" s="4">
        <v>757314</v>
      </c>
      <c r="R341" s="4">
        <v>219999.6</v>
      </c>
      <c r="S341" s="3" t="s">
        <v>52</v>
      </c>
    </row>
    <row r="342" spans="1:19" ht="15.75" customHeight="1">
      <c r="A342" s="2">
        <v>45438</v>
      </c>
      <c r="B342" s="3">
        <v>2024</v>
      </c>
      <c r="C342" s="3" t="s">
        <v>63</v>
      </c>
      <c r="D342" s="3" t="s">
        <v>54</v>
      </c>
      <c r="E342" s="3" t="s">
        <v>90</v>
      </c>
      <c r="F342" s="3" t="s">
        <v>35</v>
      </c>
      <c r="G342" s="3" t="s">
        <v>190</v>
      </c>
      <c r="H342" s="3" t="s">
        <v>112</v>
      </c>
      <c r="I342" s="3" t="s">
        <v>27</v>
      </c>
      <c r="J342" s="3" t="s">
        <v>114</v>
      </c>
      <c r="K342" s="3" t="s">
        <v>40</v>
      </c>
      <c r="L342" s="3">
        <v>34</v>
      </c>
      <c r="M342" s="4">
        <v>101875</v>
      </c>
      <c r="N342" s="6">
        <v>0.1</v>
      </c>
      <c r="O342" s="3">
        <v>67078.62</v>
      </c>
      <c r="P342" s="4">
        <v>3463750</v>
      </c>
      <c r="Q342" s="4">
        <v>3117375</v>
      </c>
      <c r="R342" s="4">
        <v>836701.92</v>
      </c>
      <c r="S342" s="3" t="s">
        <v>41</v>
      </c>
    </row>
    <row r="343" spans="1:19" ht="15.75" customHeight="1">
      <c r="A343" s="2">
        <v>45467</v>
      </c>
      <c r="B343" s="3">
        <v>2024</v>
      </c>
      <c r="C343" s="3" t="s">
        <v>68</v>
      </c>
      <c r="D343" s="3" t="s">
        <v>54</v>
      </c>
      <c r="E343" s="3" t="s">
        <v>90</v>
      </c>
      <c r="F343" s="3" t="s">
        <v>115</v>
      </c>
      <c r="G343" s="3" t="s">
        <v>175</v>
      </c>
      <c r="H343" s="3" t="s">
        <v>75</v>
      </c>
      <c r="I343" s="3" t="s">
        <v>59</v>
      </c>
      <c r="J343" s="3" t="s">
        <v>76</v>
      </c>
      <c r="K343" s="3" t="s">
        <v>105</v>
      </c>
      <c r="L343" s="3">
        <v>17</v>
      </c>
      <c r="M343" s="4">
        <v>42407</v>
      </c>
      <c r="N343" s="6">
        <v>0.12</v>
      </c>
      <c r="O343" s="3">
        <v>25001.5</v>
      </c>
      <c r="P343" s="4">
        <v>720919</v>
      </c>
      <c r="Q343" s="4">
        <v>634408.72</v>
      </c>
      <c r="R343" s="4">
        <v>209383.22</v>
      </c>
      <c r="S343" s="3" t="s">
        <v>62</v>
      </c>
    </row>
    <row r="344" spans="1:19" ht="15.75" customHeight="1">
      <c r="A344" s="2">
        <v>45486</v>
      </c>
      <c r="B344" s="3">
        <v>2024</v>
      </c>
      <c r="C344" s="3" t="s">
        <v>72</v>
      </c>
      <c r="D344" s="3" t="s">
        <v>73</v>
      </c>
      <c r="E344" s="3" t="s">
        <v>34</v>
      </c>
      <c r="F344" s="3" t="s">
        <v>86</v>
      </c>
      <c r="G344" s="3" t="s">
        <v>121</v>
      </c>
      <c r="H344" s="3" t="s">
        <v>37</v>
      </c>
      <c r="I344" s="3" t="s">
        <v>38</v>
      </c>
      <c r="J344" s="3" t="s">
        <v>39</v>
      </c>
      <c r="K344" s="3" t="s">
        <v>40</v>
      </c>
      <c r="L344" s="3">
        <v>336</v>
      </c>
      <c r="M344" s="4">
        <v>112140</v>
      </c>
      <c r="N344" s="6">
        <v>0</v>
      </c>
      <c r="O344" s="3">
        <v>54284.45</v>
      </c>
      <c r="P344" s="4">
        <v>37679040</v>
      </c>
      <c r="Q344" s="4">
        <v>37679040</v>
      </c>
      <c r="R344" s="4">
        <v>19439464.800000001</v>
      </c>
      <c r="S344" s="3" t="s">
        <v>52</v>
      </c>
    </row>
    <row r="345" spans="1:19" ht="15.75" customHeight="1">
      <c r="A345" s="2">
        <v>45513</v>
      </c>
      <c r="B345" s="3">
        <v>2024</v>
      </c>
      <c r="C345" s="3" t="s">
        <v>78</v>
      </c>
      <c r="D345" s="3" t="s">
        <v>73</v>
      </c>
      <c r="E345" s="3" t="s">
        <v>55</v>
      </c>
      <c r="F345" s="3" t="s">
        <v>165</v>
      </c>
      <c r="G345" s="3" t="s">
        <v>69</v>
      </c>
      <c r="H345" s="3" t="s">
        <v>120</v>
      </c>
      <c r="I345" s="3" t="s">
        <v>27</v>
      </c>
      <c r="J345" s="3" t="s">
        <v>114</v>
      </c>
      <c r="K345" s="3" t="s">
        <v>196</v>
      </c>
      <c r="L345" s="3">
        <v>16</v>
      </c>
      <c r="M345" s="4">
        <v>166330</v>
      </c>
      <c r="N345" s="6"/>
      <c r="O345" s="3">
        <v>114302.2</v>
      </c>
      <c r="P345" s="4">
        <v>2661280</v>
      </c>
      <c r="Q345" s="4">
        <v>2661280</v>
      </c>
      <c r="R345" s="4">
        <v>832444.8</v>
      </c>
      <c r="S345" s="3" t="s">
        <v>41</v>
      </c>
    </row>
    <row r="346" spans="1:19" ht="15.75" customHeight="1">
      <c r="A346" s="2">
        <v>45557</v>
      </c>
      <c r="B346" s="3">
        <v>2024</v>
      </c>
      <c r="C346" s="3" t="s">
        <v>85</v>
      </c>
      <c r="D346" s="3" t="s">
        <v>73</v>
      </c>
      <c r="E346" s="3" t="s">
        <v>34</v>
      </c>
      <c r="F346" s="3" t="s">
        <v>86</v>
      </c>
      <c r="G346" s="3" t="s">
        <v>177</v>
      </c>
      <c r="H346" s="3" t="s">
        <v>82</v>
      </c>
      <c r="I346" s="3" t="s">
        <v>38</v>
      </c>
      <c r="J346" s="3" t="s">
        <v>83</v>
      </c>
      <c r="K346" s="3" t="s">
        <v>84</v>
      </c>
      <c r="L346" s="3">
        <v>78</v>
      </c>
      <c r="M346" s="4">
        <v>26911</v>
      </c>
      <c r="N346" s="6">
        <v>0.15</v>
      </c>
      <c r="O346" s="3">
        <v>21062.46</v>
      </c>
      <c r="P346" s="4">
        <v>2099058</v>
      </c>
      <c r="Q346" s="4">
        <v>1784199.3</v>
      </c>
      <c r="R346" s="4">
        <v>141327.42000000001</v>
      </c>
      <c r="S346" s="3" t="s">
        <v>149</v>
      </c>
    </row>
    <row r="347" spans="1:19" ht="15.75" customHeight="1">
      <c r="A347" s="2">
        <v>45590</v>
      </c>
      <c r="B347" s="3">
        <v>2024</v>
      </c>
      <c r="C347" s="3" t="s">
        <v>88</v>
      </c>
      <c r="D347" s="3" t="s">
        <v>89</v>
      </c>
      <c r="E347" s="3" t="s">
        <v>90</v>
      </c>
      <c r="F347" s="3" t="s">
        <v>132</v>
      </c>
      <c r="G347" s="3" t="s">
        <v>81</v>
      </c>
      <c r="H347" s="3" t="s">
        <v>26</v>
      </c>
      <c r="I347" s="3" t="s">
        <v>122</v>
      </c>
      <c r="J347" s="3" t="s">
        <v>28</v>
      </c>
      <c r="K347" s="3" t="s">
        <v>67</v>
      </c>
      <c r="L347" s="3">
        <v>12</v>
      </c>
      <c r="M347" s="4">
        <v>134409</v>
      </c>
      <c r="N347" s="6">
        <v>0.05</v>
      </c>
      <c r="O347" s="3">
        <v>90534.3</v>
      </c>
      <c r="P347" s="4">
        <v>1612908</v>
      </c>
      <c r="Q347" s="4">
        <v>1532262.6</v>
      </c>
      <c r="R347" s="4">
        <v>445851</v>
      </c>
      <c r="S347" s="3" t="s">
        <v>62</v>
      </c>
    </row>
    <row r="348" spans="1:19" ht="15.75" customHeight="1">
      <c r="A348" s="2">
        <v>45621</v>
      </c>
      <c r="B348" s="3">
        <v>2024</v>
      </c>
      <c r="C348" s="3" t="s">
        <v>93</v>
      </c>
      <c r="D348" s="3" t="s">
        <v>89</v>
      </c>
      <c r="E348" s="3" t="s">
        <v>23</v>
      </c>
      <c r="F348" s="3" t="s">
        <v>86</v>
      </c>
      <c r="G348" s="3" t="s">
        <v>162</v>
      </c>
      <c r="H348" s="3" t="s">
        <v>96</v>
      </c>
      <c r="I348" s="3" t="s">
        <v>38</v>
      </c>
      <c r="J348" s="3" t="s">
        <v>83</v>
      </c>
      <c r="K348" s="3" t="s">
        <v>61</v>
      </c>
      <c r="L348" s="3">
        <v>22</v>
      </c>
      <c r="M348" s="4">
        <v>79695</v>
      </c>
      <c r="N348" s="6">
        <v>0.2</v>
      </c>
      <c r="O348" s="3">
        <v>40825.78</v>
      </c>
      <c r="P348" s="4">
        <v>1753290</v>
      </c>
      <c r="Q348" s="4">
        <v>1402632</v>
      </c>
      <c r="R348" s="4">
        <v>504464.84</v>
      </c>
      <c r="S348" s="3" t="s">
        <v>32</v>
      </c>
    </row>
    <row r="349" spans="1:19" ht="15.75" customHeight="1">
      <c r="A349" s="2">
        <v>45631</v>
      </c>
      <c r="B349" s="3">
        <v>2024</v>
      </c>
      <c r="C349" s="3" t="s">
        <v>99</v>
      </c>
      <c r="D349" s="3" t="s">
        <v>89</v>
      </c>
      <c r="E349" s="3" t="s">
        <v>79</v>
      </c>
      <c r="F349" s="3" t="s">
        <v>91</v>
      </c>
      <c r="G349" s="3" t="s">
        <v>164</v>
      </c>
      <c r="H349" s="3" t="s">
        <v>82</v>
      </c>
      <c r="I349" s="3" t="s">
        <v>59</v>
      </c>
      <c r="J349" s="3" t="s">
        <v>83</v>
      </c>
      <c r="K349" s="3" t="s">
        <v>61</v>
      </c>
      <c r="L349" s="3">
        <v>17</v>
      </c>
      <c r="M349" s="4">
        <v>31115</v>
      </c>
      <c r="N349" s="6">
        <v>0.2</v>
      </c>
      <c r="O349" s="3">
        <v>22466.06</v>
      </c>
      <c r="P349" s="4">
        <v>528955</v>
      </c>
      <c r="Q349" s="4">
        <v>423164</v>
      </c>
      <c r="R349" s="4">
        <v>41240.980000000003</v>
      </c>
      <c r="S349" s="3" t="s">
        <v>32</v>
      </c>
    </row>
    <row r="350" spans="1:19" ht="15.75" customHeight="1">
      <c r="A350" s="2">
        <v>45300</v>
      </c>
      <c r="B350" s="3">
        <v>2024</v>
      </c>
      <c r="C350" s="3" t="s">
        <v>21</v>
      </c>
      <c r="D350" s="3" t="s">
        <v>22</v>
      </c>
      <c r="E350" s="3" t="s">
        <v>64</v>
      </c>
      <c r="F350" s="3" t="s">
        <v>24</v>
      </c>
      <c r="G350" s="3" t="s">
        <v>69</v>
      </c>
      <c r="H350" s="3" t="s">
        <v>102</v>
      </c>
      <c r="I350" s="3" t="s">
        <v>49</v>
      </c>
      <c r="J350" s="3" t="s">
        <v>104</v>
      </c>
      <c r="K350" s="3" t="s">
        <v>197</v>
      </c>
      <c r="L350" s="3">
        <v>1</v>
      </c>
      <c r="M350" s="4">
        <v>140628</v>
      </c>
      <c r="N350" s="6">
        <v>0.08</v>
      </c>
      <c r="O350" s="3">
        <v>104826.53</v>
      </c>
      <c r="P350" s="4">
        <v>140628</v>
      </c>
      <c r="Q350" s="4">
        <v>129377.76</v>
      </c>
      <c r="R350" s="4">
        <v>24551.23</v>
      </c>
      <c r="S350" s="3" t="s">
        <v>32</v>
      </c>
    </row>
    <row r="351" spans="1:19" ht="15.75" customHeight="1">
      <c r="A351" s="2">
        <v>45334</v>
      </c>
      <c r="B351" s="3">
        <v>2024</v>
      </c>
      <c r="C351" s="3" t="s">
        <v>33</v>
      </c>
      <c r="D351" s="3" t="s">
        <v>22</v>
      </c>
      <c r="E351" s="3" t="s">
        <v>55</v>
      </c>
      <c r="F351" s="3" t="s">
        <v>24</v>
      </c>
      <c r="G351" s="3" t="s">
        <v>184</v>
      </c>
      <c r="H351" s="3" t="s">
        <v>108</v>
      </c>
      <c r="I351" s="3" t="s">
        <v>47</v>
      </c>
      <c r="J351" s="3" t="s">
        <v>110</v>
      </c>
      <c r="K351" s="3" t="s">
        <v>105</v>
      </c>
      <c r="L351" s="3">
        <v>6</v>
      </c>
      <c r="M351" s="4">
        <v>101145</v>
      </c>
      <c r="N351" s="6">
        <v>0.12</v>
      </c>
      <c r="O351" s="3">
        <v>72435.86</v>
      </c>
      <c r="P351" s="4">
        <v>606870</v>
      </c>
      <c r="Q351" s="4">
        <v>534045.6</v>
      </c>
      <c r="R351" s="4">
        <v>99430.44</v>
      </c>
      <c r="S351" s="3" t="s">
        <v>62</v>
      </c>
    </row>
    <row r="352" spans="1:19" ht="15.75" customHeight="1">
      <c r="A352" s="2">
        <v>45374</v>
      </c>
      <c r="B352" s="3">
        <v>2024</v>
      </c>
      <c r="C352" s="3" t="s">
        <v>42</v>
      </c>
      <c r="D352" s="3" t="s">
        <v>22</v>
      </c>
      <c r="E352" s="3" t="s">
        <v>34</v>
      </c>
      <c r="F352" s="3" t="s">
        <v>45</v>
      </c>
      <c r="G352" s="3" t="s">
        <v>127</v>
      </c>
      <c r="H352" s="3" t="s">
        <v>112</v>
      </c>
      <c r="I352" s="3" t="s">
        <v>27</v>
      </c>
      <c r="J352" s="3" t="s">
        <v>114</v>
      </c>
      <c r="K352" s="3" t="s">
        <v>61</v>
      </c>
      <c r="L352" s="3">
        <v>6</v>
      </c>
      <c r="M352" s="4">
        <v>126814</v>
      </c>
      <c r="N352" s="6">
        <v>0.1</v>
      </c>
      <c r="O352" s="3">
        <v>58650.76</v>
      </c>
      <c r="P352" s="4">
        <v>760884</v>
      </c>
      <c r="Q352" s="4">
        <v>684795.6</v>
      </c>
      <c r="R352" s="4">
        <v>332891.03999999998</v>
      </c>
      <c r="S352" s="3" t="s">
        <v>32</v>
      </c>
    </row>
    <row r="353" spans="1:19" ht="15.75" customHeight="1">
      <c r="A353" s="2">
        <v>45392</v>
      </c>
      <c r="B353" s="3">
        <v>2024</v>
      </c>
      <c r="C353" s="3" t="s">
        <v>53</v>
      </c>
      <c r="D353" s="3" t="s">
        <v>54</v>
      </c>
      <c r="E353" s="3" t="s">
        <v>34</v>
      </c>
      <c r="F353" s="3" t="s">
        <v>130</v>
      </c>
      <c r="G353" s="3" t="s">
        <v>191</v>
      </c>
      <c r="H353" s="3" t="s">
        <v>26</v>
      </c>
      <c r="I353" s="3" t="s">
        <v>27</v>
      </c>
      <c r="J353" s="3" t="s">
        <v>28</v>
      </c>
      <c r="K353" s="3" t="s">
        <v>105</v>
      </c>
      <c r="L353" s="3">
        <v>22</v>
      </c>
      <c r="M353" s="4">
        <v>23223</v>
      </c>
      <c r="N353" s="6">
        <v>0.15</v>
      </c>
      <c r="O353" s="3">
        <v>17010.53</v>
      </c>
      <c r="P353" s="4">
        <v>510906</v>
      </c>
      <c r="Q353" s="4">
        <v>434270.1</v>
      </c>
      <c r="R353" s="4">
        <v>60038.44</v>
      </c>
      <c r="S353" s="3" t="s">
        <v>149</v>
      </c>
    </row>
    <row r="354" spans="1:19" ht="15.75" customHeight="1">
      <c r="A354" s="2">
        <v>45420</v>
      </c>
      <c r="B354" s="3">
        <v>2024</v>
      </c>
      <c r="C354" s="3" t="s">
        <v>63</v>
      </c>
      <c r="D354" s="3" t="s">
        <v>54</v>
      </c>
      <c r="E354" s="3" t="s">
        <v>23</v>
      </c>
      <c r="F354" s="3" t="s">
        <v>45</v>
      </c>
      <c r="G354" s="3" t="s">
        <v>170</v>
      </c>
      <c r="H354" s="3" t="s">
        <v>48</v>
      </c>
      <c r="I354" s="3" t="s">
        <v>124</v>
      </c>
      <c r="J354" s="3" t="s">
        <v>50</v>
      </c>
      <c r="K354" s="3" t="s">
        <v>61</v>
      </c>
      <c r="L354" s="3">
        <v>2</v>
      </c>
      <c r="M354" s="4">
        <v>174102</v>
      </c>
      <c r="N354" s="6">
        <v>0.1</v>
      </c>
      <c r="O354" s="3">
        <v>79221.25</v>
      </c>
      <c r="P354" s="4">
        <v>348204</v>
      </c>
      <c r="Q354" s="4">
        <v>313383.59999999998</v>
      </c>
      <c r="R354" s="4">
        <v>154941.1</v>
      </c>
      <c r="S354" s="3" t="s">
        <v>149</v>
      </c>
    </row>
    <row r="355" spans="1:19" ht="15.75" customHeight="1">
      <c r="A355" s="2">
        <v>45446</v>
      </c>
      <c r="B355" s="3">
        <v>2024</v>
      </c>
      <c r="C355" s="3" t="s">
        <v>68</v>
      </c>
      <c r="D355" s="3" t="s">
        <v>54</v>
      </c>
      <c r="E355" s="3" t="s">
        <v>43</v>
      </c>
      <c r="F355" s="3" t="s">
        <v>56</v>
      </c>
      <c r="G355" s="3" t="s">
        <v>137</v>
      </c>
      <c r="H355" s="3" t="s">
        <v>48</v>
      </c>
      <c r="I355" s="3" t="s">
        <v>124</v>
      </c>
      <c r="J355" s="3" t="s">
        <v>50</v>
      </c>
      <c r="K355" s="3" t="s">
        <v>51</v>
      </c>
      <c r="L355" s="3">
        <v>40</v>
      </c>
      <c r="M355" s="4">
        <v>65121</v>
      </c>
      <c r="N355" s="6">
        <v>0.08</v>
      </c>
      <c r="O355" s="3">
        <v>36694.53</v>
      </c>
      <c r="P355" s="4">
        <v>2604840</v>
      </c>
      <c r="Q355" s="4">
        <v>2396452.7999999998</v>
      </c>
      <c r="R355" s="4">
        <v>928671.6</v>
      </c>
      <c r="S355" s="3" t="s">
        <v>149</v>
      </c>
    </row>
    <row r="356" spans="1:19" ht="15.75" customHeight="1">
      <c r="A356" s="2">
        <v>45479</v>
      </c>
      <c r="B356" s="3">
        <v>2024</v>
      </c>
      <c r="C356" s="3" t="s">
        <v>72</v>
      </c>
      <c r="D356" s="3" t="s">
        <v>73</v>
      </c>
      <c r="E356" s="3" t="s">
        <v>55</v>
      </c>
      <c r="F356" s="3" t="s">
        <v>56</v>
      </c>
      <c r="G356" s="3" t="s">
        <v>36</v>
      </c>
      <c r="H356" s="3" t="s">
        <v>48</v>
      </c>
      <c r="I356" s="3" t="s">
        <v>124</v>
      </c>
      <c r="J356" s="3" t="s">
        <v>50</v>
      </c>
      <c r="K356" s="3" t="s">
        <v>29</v>
      </c>
      <c r="L356" s="3">
        <v>27</v>
      </c>
      <c r="M356" s="4">
        <v>108974</v>
      </c>
      <c r="N356" s="6">
        <v>0.12</v>
      </c>
      <c r="O356" s="3">
        <v>58331.12</v>
      </c>
      <c r="P356" s="4">
        <v>2942298</v>
      </c>
      <c r="Q356" s="4">
        <v>2589222.2400000002</v>
      </c>
      <c r="R356" s="4">
        <v>1014282</v>
      </c>
      <c r="S356" s="3" t="s">
        <v>52</v>
      </c>
    </row>
    <row r="357" spans="1:19" ht="15.75" customHeight="1">
      <c r="A357" s="2">
        <v>45520</v>
      </c>
      <c r="B357" s="3">
        <v>2024</v>
      </c>
      <c r="C357" s="3" t="s">
        <v>78</v>
      </c>
      <c r="D357" s="3" t="s">
        <v>73</v>
      </c>
      <c r="E357" s="3" t="s">
        <v>23</v>
      </c>
      <c r="F357" s="3" t="s">
        <v>56</v>
      </c>
      <c r="G357" s="3" t="s">
        <v>173</v>
      </c>
      <c r="H357" s="3" t="s">
        <v>44</v>
      </c>
      <c r="I357" s="3" t="s">
        <v>47</v>
      </c>
      <c r="J357" s="3" t="s">
        <v>153</v>
      </c>
      <c r="K357" s="3" t="s">
        <v>105</v>
      </c>
      <c r="L357" s="3">
        <v>38</v>
      </c>
      <c r="M357" s="4">
        <v>121110</v>
      </c>
      <c r="N357" s="6">
        <v>0.12</v>
      </c>
      <c r="O357" s="3">
        <v>83847.53</v>
      </c>
      <c r="P357" s="4">
        <v>4602180</v>
      </c>
      <c r="Q357" s="4">
        <v>4049918.4</v>
      </c>
      <c r="R357" s="4">
        <v>863712.26</v>
      </c>
      <c r="S357" s="3" t="s">
        <v>41</v>
      </c>
    </row>
    <row r="358" spans="1:19" ht="15.75" customHeight="1">
      <c r="A358" s="2">
        <v>45558</v>
      </c>
      <c r="B358" s="3">
        <v>2024</v>
      </c>
      <c r="C358" s="3" t="s">
        <v>85</v>
      </c>
      <c r="D358" s="3" t="s">
        <v>73</v>
      </c>
      <c r="E358" s="3" t="s">
        <v>23</v>
      </c>
      <c r="F358" s="3" t="s">
        <v>132</v>
      </c>
      <c r="G358" s="3" t="s">
        <v>137</v>
      </c>
      <c r="H358" s="3" t="s">
        <v>48</v>
      </c>
      <c r="I358" s="3" t="s">
        <v>49</v>
      </c>
      <c r="J358" s="3" t="s">
        <v>50</v>
      </c>
      <c r="K358" s="3" t="s">
        <v>51</v>
      </c>
      <c r="L358" s="3">
        <v>6</v>
      </c>
      <c r="M358" s="4">
        <v>90957</v>
      </c>
      <c r="N358" s="6">
        <v>0</v>
      </c>
      <c r="O358" s="3">
        <v>58685.33</v>
      </c>
      <c r="P358" s="4">
        <v>545742</v>
      </c>
      <c r="Q358" s="4">
        <v>545742</v>
      </c>
      <c r="R358" s="4">
        <v>193630.02</v>
      </c>
      <c r="S358" s="3" t="s">
        <v>41</v>
      </c>
    </row>
    <row r="359" spans="1:19" ht="15.75" customHeight="1">
      <c r="A359" s="2">
        <v>45573</v>
      </c>
      <c r="B359" s="3">
        <v>2024</v>
      </c>
      <c r="C359" s="3" t="s">
        <v>88</v>
      </c>
      <c r="D359" s="3" t="s">
        <v>89</v>
      </c>
      <c r="E359" s="3" t="s">
        <v>34</v>
      </c>
      <c r="F359" s="3" t="s">
        <v>95</v>
      </c>
      <c r="G359" s="3" t="s">
        <v>192</v>
      </c>
      <c r="H359" s="3" t="s">
        <v>108</v>
      </c>
      <c r="I359" s="3" t="s">
        <v>38</v>
      </c>
      <c r="J359" s="3" t="s">
        <v>110</v>
      </c>
      <c r="K359" s="3" t="s">
        <v>84</v>
      </c>
      <c r="L359" s="3">
        <v>4</v>
      </c>
      <c r="M359" s="4">
        <v>51116</v>
      </c>
      <c r="N359" s="6">
        <v>0.12</v>
      </c>
      <c r="O359" s="3">
        <v>31903.040000000001</v>
      </c>
      <c r="P359" s="4">
        <v>204464</v>
      </c>
      <c r="Q359" s="4">
        <v>179928.32000000001</v>
      </c>
      <c r="R359" s="4">
        <v>52316.160000000003</v>
      </c>
      <c r="S359" s="3" t="s">
        <v>41</v>
      </c>
    </row>
    <row r="360" spans="1:19" ht="15.75" customHeight="1">
      <c r="A360" s="2">
        <v>45607</v>
      </c>
      <c r="B360" s="3">
        <v>2024</v>
      </c>
      <c r="C360" s="3" t="s">
        <v>93</v>
      </c>
      <c r="D360" s="3" t="s">
        <v>89</v>
      </c>
      <c r="E360" s="3" t="s">
        <v>79</v>
      </c>
      <c r="F360" s="3" t="s">
        <v>91</v>
      </c>
      <c r="G360" s="3" t="s">
        <v>164</v>
      </c>
      <c r="H360" s="3" t="s">
        <v>112</v>
      </c>
      <c r="I360" s="3" t="s">
        <v>122</v>
      </c>
      <c r="J360" s="3" t="s">
        <v>114</v>
      </c>
      <c r="K360" s="3" t="s">
        <v>67</v>
      </c>
      <c r="L360" s="3">
        <v>4</v>
      </c>
      <c r="M360" s="4">
        <v>58107</v>
      </c>
      <c r="N360" s="6">
        <v>0</v>
      </c>
      <c r="O360" s="3">
        <v>36013.06</v>
      </c>
      <c r="P360" s="4">
        <v>232428</v>
      </c>
      <c r="Q360" s="4">
        <v>232428</v>
      </c>
      <c r="R360" s="4">
        <v>88375.76</v>
      </c>
      <c r="S360" s="3" t="s">
        <v>32</v>
      </c>
    </row>
    <row r="361" spans="1:19" ht="15.75" customHeight="1">
      <c r="A361" s="2">
        <v>45650</v>
      </c>
      <c r="B361" s="3">
        <v>2024</v>
      </c>
      <c r="C361" s="3" t="s">
        <v>99</v>
      </c>
      <c r="D361" s="3" t="s">
        <v>89</v>
      </c>
      <c r="E361" s="3" t="s">
        <v>90</v>
      </c>
      <c r="F361" s="3" t="s">
        <v>86</v>
      </c>
      <c r="G361" s="3" t="s">
        <v>81</v>
      </c>
      <c r="H361" s="3" t="s">
        <v>58</v>
      </c>
      <c r="I361" s="3" t="s">
        <v>59</v>
      </c>
      <c r="J361" s="3" t="s">
        <v>60</v>
      </c>
      <c r="K361" s="3" t="s">
        <v>84</v>
      </c>
      <c r="L361" s="3">
        <v>15</v>
      </c>
      <c r="M361" s="4">
        <v>120159</v>
      </c>
      <c r="N361" s="6">
        <v>0.08</v>
      </c>
      <c r="O361" s="3">
        <v>91558.49</v>
      </c>
      <c r="P361" s="4">
        <v>1802385</v>
      </c>
      <c r="Q361" s="4">
        <v>1658194.2</v>
      </c>
      <c r="R361" s="4">
        <v>284816.84999999998</v>
      </c>
      <c r="S361" s="3" t="s">
        <v>32</v>
      </c>
    </row>
    <row r="362" spans="1:19" ht="15.75" customHeight="1"/>
    <row r="363" spans="1:19" ht="15.75" customHeight="1"/>
    <row r="364" spans="1:19" ht="15.75" customHeight="1"/>
    <row r="365" spans="1:19" ht="15.75" customHeight="1"/>
    <row r="366" spans="1:19" ht="15.75" customHeight="1"/>
    <row r="367" spans="1:19" ht="15.75" customHeight="1"/>
    <row r="368" spans="1:19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8B5A407-8845-4C48-A7F8-398B21824A23}">
  <ds:schemaRefs/>
</ds:datastoreItem>
</file>

<file path=customXml/itemProps2.xml><?xml version="1.0" encoding="utf-8"?>
<ds:datastoreItem xmlns:ds="http://schemas.openxmlformats.org/officeDocument/2006/customXml" ds:itemID="{732E6EA3-A2AC-4673-BD76-753F8EB88C09}">
  <ds:schemaRefs/>
</ds:datastoreItem>
</file>

<file path=customXml/itemProps3.xml><?xml version="1.0" encoding="utf-8"?>
<ds:datastoreItem xmlns:ds="http://schemas.openxmlformats.org/officeDocument/2006/customXml" ds:itemID="{FC682B22-6E93-40AA-A512-77AF07DE6973}">
  <ds:schemaRefs/>
</ds:datastoreItem>
</file>

<file path=customXml/itemProps4.xml><?xml version="1.0" encoding="utf-8"?>
<ds:datastoreItem xmlns:ds="http://schemas.openxmlformats.org/officeDocument/2006/customXml" ds:itemID="{315BDA52-16AA-4639-A18C-3C3F691A1CEB}">
  <ds:schemaRefs/>
</ds:datastoreItem>
</file>

<file path=customXml/itemProps5.xml><?xml version="1.0" encoding="utf-8"?>
<ds:datastoreItem xmlns:ds="http://schemas.openxmlformats.org/officeDocument/2006/customXml" ds:itemID="{64505A78-1C90-4BF6-A46E-7575D637D02E}">
  <ds:schemaRefs/>
</ds:datastoreItem>
</file>

<file path=customXml/itemProps6.xml><?xml version="1.0" encoding="utf-8"?>
<ds:datastoreItem xmlns:ds="http://schemas.openxmlformats.org/officeDocument/2006/customXml" ds:itemID="{ED79DEFD-A842-408D-8354-A6014E47AEF2}">
  <ds:schemaRefs/>
</ds:datastoreItem>
</file>

<file path=customXml/itemProps7.xml><?xml version="1.0" encoding="utf-8"?>
<ds:datastoreItem xmlns:ds="http://schemas.openxmlformats.org/officeDocument/2006/customXml" ds:itemID="{80B03B31-3F6C-4584-9847-85732514C64C}">
  <ds:schemaRefs/>
</ds:datastoreItem>
</file>

<file path=customXml/itemProps8.xml><?xml version="1.0" encoding="utf-8"?>
<ds:datastoreItem xmlns:ds="http://schemas.openxmlformats.org/officeDocument/2006/customXml" ds:itemID="{458CFA73-7A06-4494-849E-9B70B8936DF3}">
  <ds:schemaRefs/>
</ds:datastoreItem>
</file>

<file path=customXml/itemProps9.xml><?xml version="1.0" encoding="utf-8"?>
<ds:datastoreItem xmlns:ds="http://schemas.openxmlformats.org/officeDocument/2006/customXml" ds:itemID="{EABF70D3-7D85-47A7-A887-208C0A5A5082}">
  <ds:schemaRefs/>
</ds:datastoreItem>
</file>

<file path=customXml/itemProps10.xml><?xml version="1.0" encoding="utf-8"?>
<ds:datastoreItem xmlns:ds="http://schemas.openxmlformats.org/officeDocument/2006/customXml" ds:itemID="{F88495EF-AD1A-45ED-8D72-C3C6663C14B4}">
  <ds:schemaRefs/>
</ds:datastoreItem>
</file>

<file path=customXml/itemProps11.xml><?xml version="1.0" encoding="utf-8"?>
<ds:datastoreItem xmlns:ds="http://schemas.openxmlformats.org/officeDocument/2006/customXml" ds:itemID="{2AA0D810-B318-44B1-B9B8-04F500FAB028}">
  <ds:schemaRefs/>
</ds:datastoreItem>
</file>

<file path=customXml/itemProps12.xml><?xml version="1.0" encoding="utf-8"?>
<ds:datastoreItem xmlns:ds="http://schemas.openxmlformats.org/officeDocument/2006/customXml" ds:itemID="{AB221F5C-0B49-4CF6-AFCD-A334BD181CD6}">
  <ds:schemaRefs/>
</ds:datastoreItem>
</file>

<file path=customXml/itemProps13.xml><?xml version="1.0" encoding="utf-8"?>
<ds:datastoreItem xmlns:ds="http://schemas.openxmlformats.org/officeDocument/2006/customXml" ds:itemID="{03B791D1-7044-4405-A22F-928A000F029F}">
  <ds:schemaRefs/>
</ds:datastoreItem>
</file>

<file path=customXml/itemProps14.xml><?xml version="1.0" encoding="utf-8"?>
<ds:datastoreItem xmlns:ds="http://schemas.openxmlformats.org/officeDocument/2006/customXml" ds:itemID="{1F08FBBF-152A-413C-9A3A-9B5CE86D3B3B}">
  <ds:schemaRefs/>
</ds:datastoreItem>
</file>

<file path=customXml/itemProps15.xml><?xml version="1.0" encoding="utf-8"?>
<ds:datastoreItem xmlns:ds="http://schemas.openxmlformats.org/officeDocument/2006/customXml" ds:itemID="{C276E573-4CCD-466E-85E7-A9D5B8E8E29F}">
  <ds:schemaRefs/>
</ds:datastoreItem>
</file>

<file path=customXml/itemProps16.xml><?xml version="1.0" encoding="utf-8"?>
<ds:datastoreItem xmlns:ds="http://schemas.openxmlformats.org/officeDocument/2006/customXml" ds:itemID="{223902C0-67F4-4B30-BE13-A1637CB31AF9}">
  <ds:schemaRefs/>
</ds:datastoreItem>
</file>

<file path=customXml/itemProps17.xml><?xml version="1.0" encoding="utf-8"?>
<ds:datastoreItem xmlns:ds="http://schemas.openxmlformats.org/officeDocument/2006/customXml" ds:itemID="{E0381762-BBE3-4DBC-8ADA-2B185BEE627F}">
  <ds:schemaRefs/>
</ds:datastoreItem>
</file>

<file path=customXml/itemProps18.xml><?xml version="1.0" encoding="utf-8"?>
<ds:datastoreItem xmlns:ds="http://schemas.openxmlformats.org/officeDocument/2006/customXml" ds:itemID="{8B2D9618-C5EB-4C19-8EC3-5A914A3DE370}">
  <ds:schemaRefs/>
</ds:datastoreItem>
</file>

<file path=customXml/itemProps19.xml><?xml version="1.0" encoding="utf-8"?>
<ds:datastoreItem xmlns:ds="http://schemas.openxmlformats.org/officeDocument/2006/customXml" ds:itemID="{51E68199-0638-487C-8FA3-23AC8C230D10}">
  <ds:schemaRefs/>
</ds:datastoreItem>
</file>

<file path=customXml/itemProps20.xml><?xml version="1.0" encoding="utf-8"?>
<ds:datastoreItem xmlns:ds="http://schemas.openxmlformats.org/officeDocument/2006/customXml" ds:itemID="{44F461C4-1764-4B37-AD43-885DDB9B693F}">
  <ds:schemaRefs/>
</ds:datastoreItem>
</file>

<file path=customXml/itemProps21.xml><?xml version="1.0" encoding="utf-8"?>
<ds:datastoreItem xmlns:ds="http://schemas.openxmlformats.org/officeDocument/2006/customXml" ds:itemID="{5C97885A-E386-4876-A0F7-473FC9DAA8AE}">
  <ds:schemaRefs/>
</ds:datastoreItem>
</file>

<file path=customXml/itemProps22.xml><?xml version="1.0" encoding="utf-8"?>
<ds:datastoreItem xmlns:ds="http://schemas.openxmlformats.org/officeDocument/2006/customXml" ds:itemID="{C76D2311-6959-444F-B553-31ABF17504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Detalle_Productos</vt:lpstr>
      <vt:lpstr>Dashboard Final</vt:lpstr>
      <vt:lpstr>Configuración</vt:lpstr>
      <vt:lpstr>Auxiliar</vt:lpstr>
      <vt:lpstr>Datos_Crudos</vt:lpstr>
      <vt:lpstr>Inicio_Config</vt:lpstr>
      <vt:lpstr>Inicio_Datos</vt:lpstr>
      <vt:lpstr>Inicio_Detalle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Lomek Kendrak</dc:creator>
  <cp:lastModifiedBy>Lomek Kendrak</cp:lastModifiedBy>
  <dcterms:created xsi:type="dcterms:W3CDTF">2026-08-13T19:13:47Z</dcterms:created>
  <dcterms:modified xsi:type="dcterms:W3CDTF">2026-08-19T04:20:27Z</dcterms:modified>
</cp:coreProperties>
</file>